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DIVINO POMAR - PROJETO 001\"/>
    </mc:Choice>
  </mc:AlternateContent>
  <xr:revisionPtr revIDLastSave="0" documentId="8_{0D3D32F7-538D-46A8-BB1A-94C2CAAFEABD}" xr6:coauthVersionLast="47" xr6:coauthVersionMax="47" xr10:uidLastSave="{00000000-0000-0000-0000-000000000000}"/>
  <bookViews>
    <workbookView xWindow="0" yWindow="0" windowWidth="23040" windowHeight="12240" tabRatio="793" xr2:uid="{B2783067-85EB-41E8-8D2C-0939D6659361}"/>
  </bookViews>
  <sheets>
    <sheet name="Dados_Brutos" sheetId="2" r:id="rId1"/>
    <sheet name="Dicionário" sheetId="1" r:id="rId2"/>
    <sheet name="PQ_Tratado" sheetId="3" r:id="rId3"/>
    <sheet name="Análises" sheetId="4" r:id="rId4"/>
    <sheet name="Dashboard" sheetId="5" r:id="rId5"/>
    <sheet name="QA (Quality Assurance)" sheetId="8" r:id="rId6"/>
  </sheets>
  <definedNames>
    <definedName name="DadosExternos_1" localSheetId="2" hidden="1">PQ_Tratado!$B$3:$L$53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D0713B-AB0C-4939-814E-5E2EF34A1705}" keepAlive="1" name="Consulta - fVendas" description="Conexão com a consulta 'fVendas' na pasta de trabalho." type="5" refreshedVersion="8" background="1" saveData="1">
    <dbPr connection="Provider=Microsoft.Mashup.OleDb.1;Data Source=$Workbook$;Location=fVendas;Extended Properties=&quot;&quot;" command="SELECT * FROM [fVendas]"/>
  </connection>
</connections>
</file>

<file path=xl/sharedStrings.xml><?xml version="1.0" encoding="utf-8"?>
<sst xmlns="http://schemas.openxmlformats.org/spreadsheetml/2006/main" count="825" uniqueCount="179">
  <si>
    <t>ID_Pedido</t>
  </si>
  <si>
    <t>Data_Pedido</t>
  </si>
  <si>
    <t>Data_Entrega</t>
  </si>
  <si>
    <t>Cliente_Tipo</t>
  </si>
  <si>
    <t>Canal_Venda</t>
  </si>
  <si>
    <t>Produto</t>
  </si>
  <si>
    <t>Categoria</t>
  </si>
  <si>
    <t>Quantidade</t>
  </si>
  <si>
    <t>Custo_Prod_Unit</t>
  </si>
  <si>
    <t>Preco_Venda_Unit</t>
  </si>
  <si>
    <t>Status_Pedido</t>
  </si>
  <si>
    <t>DP-2026-001</t>
  </si>
  <si>
    <t>Assinante Premium</t>
  </si>
  <si>
    <t>E-commerce (Assinatura)</t>
  </si>
  <si>
    <t>Morango Orgânico</t>
  </si>
  <si>
    <t>Frutas</t>
  </si>
  <si>
    <t>3.50</t>
  </si>
  <si>
    <t>7.00</t>
  </si>
  <si>
    <t>Entregue</t>
  </si>
  <si>
    <t>DP-2026-002</t>
  </si>
  <si>
    <t>Cliente Avulso</t>
  </si>
  <si>
    <t>Loja Física</t>
  </si>
  <si>
    <t>Mini Alface Hidropônica</t>
  </si>
  <si>
    <t>Vegetais</t>
  </si>
  <si>
    <t>1.20</t>
  </si>
  <si>
    <t>DP-2026-003</t>
  </si>
  <si>
    <t>Geleia de Framboesa</t>
  </si>
  <si>
    <t>Geleias</t>
  </si>
  <si>
    <t>5.00</t>
  </si>
  <si>
    <t>12.00</t>
  </si>
  <si>
    <t>DP-2026-004</t>
  </si>
  <si>
    <t>Perdido (Desperdício)</t>
  </si>
  <si>
    <t>DP-2026-005</t>
  </si>
  <si>
    <t>Tomate Cereja</t>
  </si>
  <si>
    <t>2.00</t>
  </si>
  <si>
    <t>DP-2026-006</t>
  </si>
  <si>
    <t xml:space="preserve">Geleia de Framboesa </t>
  </si>
  <si>
    <t>DP-2026-007</t>
  </si>
  <si>
    <t>DP-2026-008</t>
  </si>
  <si>
    <t>Cancelado</t>
  </si>
  <si>
    <t>DP-2026-009</t>
  </si>
  <si>
    <t>DP-2026-010</t>
  </si>
  <si>
    <t>DP-2026-011</t>
  </si>
  <si>
    <t>DP-2026-012</t>
  </si>
  <si>
    <t>DP-2026-013</t>
  </si>
  <si>
    <t>Geleia de Pimenta Artesanal</t>
  </si>
  <si>
    <t>5.50</t>
  </si>
  <si>
    <t>14.00</t>
  </si>
  <si>
    <t>DP-2026-014</t>
  </si>
  <si>
    <t>Manga Palmer Premium</t>
  </si>
  <si>
    <t>4.00</t>
  </si>
  <si>
    <t>9.50</t>
  </si>
  <si>
    <t>DP-2026-015</t>
  </si>
  <si>
    <t>Brotos de Alfafa</t>
  </si>
  <si>
    <t>1.80</t>
  </si>
  <si>
    <t>4.20</t>
  </si>
  <si>
    <t>DP-2026-016</t>
  </si>
  <si>
    <t>DP-2026-017</t>
  </si>
  <si>
    <t>DP-2026-018</t>
  </si>
  <si>
    <t>DP-2026-019</t>
  </si>
  <si>
    <t>DP-2026-020</t>
  </si>
  <si>
    <t xml:space="preserve">Tomate Cereja </t>
  </si>
  <si>
    <t>DP-2026-021</t>
  </si>
  <si>
    <t>DP-2026-022</t>
  </si>
  <si>
    <t>DP-2026-023</t>
  </si>
  <si>
    <t>DP-2026-024</t>
  </si>
  <si>
    <t>DP-2026-025</t>
  </si>
  <si>
    <t>DP-2026-026</t>
  </si>
  <si>
    <t>DP-2026-027</t>
  </si>
  <si>
    <t>DP-2026-028</t>
  </si>
  <si>
    <t>DP-2026-029</t>
  </si>
  <si>
    <t>DP-2026-030</t>
  </si>
  <si>
    <t>DP-2026-031</t>
  </si>
  <si>
    <t>DP-2026-032</t>
  </si>
  <si>
    <t>DP-2026-033</t>
  </si>
  <si>
    <t>DP-2026-034</t>
  </si>
  <si>
    <t>DP-2026-035</t>
  </si>
  <si>
    <t>Morango orgânico</t>
  </si>
  <si>
    <t>DP-2026-036</t>
  </si>
  <si>
    <t>DP-2026-037</t>
  </si>
  <si>
    <t>DP-2026-038</t>
  </si>
  <si>
    <t>DP-2026-039</t>
  </si>
  <si>
    <t>DP-2026-040</t>
  </si>
  <si>
    <t>DP-2026-041</t>
  </si>
  <si>
    <t>DP-2026-042</t>
  </si>
  <si>
    <t xml:space="preserve"> Mini Alface Hidropônica</t>
  </si>
  <si>
    <t>DP-2026-043</t>
  </si>
  <si>
    <t>DP-2026-044</t>
  </si>
  <si>
    <t>DP-2026-045</t>
  </si>
  <si>
    <t>DP-2026-046</t>
  </si>
  <si>
    <t>DP-2026-047</t>
  </si>
  <si>
    <t>DP-2026-048</t>
  </si>
  <si>
    <t>DP-2026-049</t>
  </si>
  <si>
    <t>DP-2026-050</t>
  </si>
  <si>
    <t>ASSINANTE PREMIUM</t>
  </si>
  <si>
    <t>E-COMMERCE (ASSINATURA)</t>
  </si>
  <si>
    <t>MORANGO ORGÂNICO</t>
  </si>
  <si>
    <t>FRUTAS</t>
  </si>
  <si>
    <t>ENTREGUE</t>
  </si>
  <si>
    <t>CLIENTE AVULSO</t>
  </si>
  <si>
    <t>LOJA FÍSICA</t>
  </si>
  <si>
    <t>MINI ALFACE HIDROPÔNICA</t>
  </si>
  <si>
    <t>VEGETAIS</t>
  </si>
  <si>
    <t>GELEIA DE FRAMBOESA</t>
  </si>
  <si>
    <t>GELEIAS</t>
  </si>
  <si>
    <t>PERDIDO (DESPERDÍCIO)</t>
  </si>
  <si>
    <t>TOMATE CEREJA</t>
  </si>
  <si>
    <t>CANCELADO</t>
  </si>
  <si>
    <t>GELEIA DE PIMENTA ARTESANAL</t>
  </si>
  <si>
    <t>MANGA PALMER PREMIUM</t>
  </si>
  <si>
    <t>BROTOS DE ALFAFA</t>
  </si>
  <si>
    <t>ID_PEDIDO</t>
  </si>
  <si>
    <t>DATA_PEDIDO</t>
  </si>
  <si>
    <t>DATA_ENTREGA</t>
  </si>
  <si>
    <t>TIPO_CLIENTE</t>
  </si>
  <si>
    <t>CANAL_VENDA</t>
  </si>
  <si>
    <t>PRODUTO</t>
  </si>
  <si>
    <t>CATEGORIA</t>
  </si>
  <si>
    <t>QUANTIDADE</t>
  </si>
  <si>
    <t>CUSTO_UNITARIO</t>
  </si>
  <si>
    <t>PRECO_VENDA</t>
  </si>
  <si>
    <t>STATUS_PEDIDO</t>
  </si>
  <si>
    <t>Total Geral</t>
  </si>
  <si>
    <t>FATURAMENTO</t>
  </si>
  <si>
    <t>QUANTIDADE VENDIDA</t>
  </si>
  <si>
    <t>TIPO DE CLIENTE</t>
  </si>
  <si>
    <t>STATUS DO PEDIDO</t>
  </si>
  <si>
    <t>TOTAL DE ITENS</t>
  </si>
  <si>
    <t>COLUNA</t>
  </si>
  <si>
    <t>DESCRIÇÃO</t>
  </si>
  <si>
    <t>TIPO DE DADO</t>
  </si>
  <si>
    <t>EXEMPLO / REGRA DE NEGÓCIO</t>
  </si>
  <si>
    <t>Identificador único de cada venda realizada.</t>
  </si>
  <si>
    <t>Texto</t>
  </si>
  <si>
    <t>Código estruturado do pedido (Ex: DP-2026-001).</t>
  </si>
  <si>
    <t>Data em que o cliente realizou a compra no sistema.</t>
  </si>
  <si>
    <t>Data</t>
  </si>
  <si>
    <t>Data da venda (Ex: 01/05/2026).</t>
  </si>
  <si>
    <t>Data efetiva em que o pedido logístico foi entregue.</t>
  </si>
  <si>
    <t>Pode ficar em branco se cancelado/perdido (Ex: 03/05/2026).</t>
  </si>
  <si>
    <t>Classificação comercial do cliente no ecossistema da empresa.</t>
  </si>
  <si>
    <t>ASSINANTE PREMIUM ou CLIENTE AVULSO.</t>
  </si>
  <si>
    <t>Meio ou plataforma onde a venda foi originada.</t>
  </si>
  <si>
    <t>E-COMMERCE (ASSINATURA) ou LOJA FÍSICA.</t>
  </si>
  <si>
    <t>Nome comercial do item comercializado pela marca.</t>
  </si>
  <si>
    <t>MORANGO ORGÂNICO, MINI ALFACE HIDROPÔNICA.</t>
  </si>
  <si>
    <t>Agrupamento logístico e de portfólio do produto.</t>
  </si>
  <si>
    <t>FRUTAS, VEGETAIS ou GELEIAS.</t>
  </si>
  <si>
    <t>Volume de itens do produto faturado no pedido.</t>
  </si>
  <si>
    <t>Inteiro</t>
  </si>
  <si>
    <t>Quantidade de unidades vendidas (Ex: 5, 2, 1).</t>
  </si>
  <si>
    <t>Custo de produção/aquisição de uma unidade do produto.</t>
  </si>
  <si>
    <t>Moeda (R$)</t>
  </si>
  <si>
    <t>Valor de custo (Ex: R$ 3,50, R$ 1,20).</t>
  </si>
  <si>
    <t>Valor cobrado do cliente por uma unidade do produto.</t>
  </si>
  <si>
    <t>Valor de venda (Ex: R$ 7,00, R$ 3,50).</t>
  </si>
  <si>
    <t>Situação logística final do pedido para auditoria.</t>
  </si>
  <si>
    <t>ENTREGUE, CANCELADO ou PERDIDO (DESPERDÍCIO).</t>
  </si>
  <si>
    <t>OK</t>
  </si>
  <si>
    <t>Matriz de Performance e Diagnóstico Operacional: Divino Pomar</t>
  </si>
  <si>
    <t>Item de Auditoria</t>
  </si>
  <si>
    <t>Dados Brutos (Origem)</t>
  </si>
  <si>
    <t>Status</t>
  </si>
  <si>
    <t>Quantidade de Produtos</t>
  </si>
  <si>
    <t>Valor Total por Unidade</t>
  </si>
  <si>
    <t>Preço de Venda Total</t>
  </si>
  <si>
    <t>Qtde. de Produtos Vendidos</t>
  </si>
  <si>
    <t>Total de Linhas</t>
  </si>
  <si>
    <t>Total de Colunas</t>
  </si>
  <si>
    <t>Tabela de Auditoria e Integridade (QA) - Divino Pomar</t>
  </si>
  <si>
    <t xml:space="preserve">Assinantes Premium </t>
  </si>
  <si>
    <t xml:space="preserve">Clientes Avulsos </t>
  </si>
  <si>
    <t xml:space="preserve">PQ Tratado </t>
  </si>
  <si>
    <t>ETL_Base_Tratada - Divino Pomar</t>
  </si>
  <si>
    <t>Tratamentos das Datas</t>
  </si>
  <si>
    <t>Mantidos como Null</t>
  </si>
  <si>
    <t>Justificado</t>
  </si>
  <si>
    <t>Nulos identificados</t>
  </si>
  <si>
    <t>Guia de Referência de Dados - Divino Pomar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</si>
</sst>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rgb="FF0B0A0A"/>
      <name val="Arial"/>
      <family val="2"/>
    </font>
    <font>
      <sz val="12"/>
      <color rgb="FF0B0A0A"/>
      <name val="Aptos Narrow"/>
      <family val="2"/>
      <scheme val="minor"/>
    </font>
    <font>
      <b/>
      <sz val="11"/>
      <color rgb="FF0B0A0A"/>
      <name val="Aptos Narrow"/>
      <family val="2"/>
      <scheme val="minor"/>
    </font>
    <font>
      <sz val="11"/>
      <color rgb="FF0B0A0A"/>
      <name val="Aptos Narrow"/>
      <family val="2"/>
      <scheme val="minor"/>
    </font>
    <font>
      <b/>
      <sz val="11"/>
      <color theme="9" tint="-0.249977111117893"/>
      <name val="Arial"/>
      <family val="2"/>
    </font>
    <font>
      <sz val="20"/>
      <color rgb="FF191412"/>
      <name val="Aptos Narrow"/>
      <family val="2"/>
      <scheme val="minor"/>
    </font>
    <font>
      <sz val="18"/>
      <color rgb="FF0B0A0A"/>
      <name val="Aptos Narrow"/>
      <family val="2"/>
      <scheme val="minor"/>
    </font>
    <font>
      <sz val="26"/>
      <color rgb="FF191412"/>
      <name val="Aptos Narrow"/>
      <family val="2"/>
      <scheme val="minor"/>
    </font>
    <font>
      <sz val="36"/>
      <color rgb="FF191412"/>
      <name val="Aptos Narrow"/>
      <family val="2"/>
      <scheme val="minor"/>
    </font>
    <font>
      <b/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D384"/>
        <bgColor indexed="64"/>
      </patternFill>
    </fill>
  </fills>
  <borders count="1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/>
    <xf numFmtId="0" fontId="2" fillId="0" borderId="9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left" vertical="center" wrapText="1" indent="1" readingOrder="1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0" fillId="0" borderId="9" xfId="0" applyNumberFormat="1" applyBorder="1"/>
    <xf numFmtId="14" fontId="0" fillId="0" borderId="9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0" fillId="2" borderId="0" xfId="0" applyFill="1"/>
    <xf numFmtId="0" fontId="3" fillId="2" borderId="13" xfId="0" applyFont="1" applyFill="1" applyBorder="1" applyAlignment="1">
      <alignment horizontal="left" vertical="center" wrapText="1" indent="1" readingOrder="1"/>
    </xf>
    <xf numFmtId="0" fontId="3" fillId="2" borderId="15" xfId="0" applyFont="1" applyFill="1" applyBorder="1" applyAlignment="1">
      <alignment horizontal="left" vertical="center" wrapText="1" inden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/>
    <xf numFmtId="0" fontId="6" fillId="2" borderId="0" xfId="0" applyFont="1" applyFill="1" applyBorder="1" applyAlignment="1">
      <alignment horizontal="left"/>
    </xf>
    <xf numFmtId="164" fontId="6" fillId="2" borderId="0" xfId="0" applyNumberFormat="1" applyFont="1" applyFill="1" applyBorder="1"/>
    <xf numFmtId="0" fontId="6" fillId="2" borderId="0" xfId="0" applyNumberFormat="1" applyFont="1" applyFill="1" applyBorder="1"/>
    <xf numFmtId="0" fontId="2" fillId="0" borderId="1" xfId="0" applyFont="1" applyBorder="1" applyAlignment="1">
      <alignment horizontal="center" vertical="center" wrapText="1" readingOrder="1"/>
    </xf>
    <xf numFmtId="8" fontId="2" fillId="0" borderId="1" xfId="0" applyNumberFormat="1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0A0A"/>
        <name val="Arial"/>
        <family val="2"/>
        <scheme val="none"/>
      </font>
      <fill>
        <patternFill patternType="solid">
          <fgColor indexed="64"/>
          <bgColor rgb="FFF6D384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top style="thin">
          <color theme="2" tint="-0.499984740745262"/>
        </top>
      </border>
    </dxf>
    <dxf>
      <border>
        <bottom style="thin">
          <color theme="2" tint="-0.499984740745262"/>
        </bottom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0A0A"/>
        <name val="Arial"/>
        <family val="2"/>
        <scheme val="none"/>
      </font>
      <fill>
        <patternFill patternType="solid">
          <fgColor indexed="64"/>
          <bgColor rgb="FFF6D384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numFmt numFmtId="0" formatCode="General"/>
      <border diagonalUp="0" diagonalDown="0"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0A0A"/>
        <name val="Arial"/>
        <family val="2"/>
        <scheme val="none"/>
      </font>
      <fill>
        <patternFill patternType="solid">
          <fgColor indexed="64"/>
          <bgColor rgb="FFF6D384"/>
        </patternFill>
      </fill>
      <alignment horizontal="left" vertical="center" textRotation="0" wrapText="1" indent="1" justifyLastLine="0" shrinkToFit="0" readingOrder="1"/>
      <border diagonalUp="0" diagonalDown="0" outline="0"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ont>
        <color rgb="FF0B0A0A"/>
      </font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ill>
        <patternFill patternType="solid">
          <bgColor rgb="FFF6D384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0B0A0A"/>
        <name val="Aptos Narrow"/>
        <family val="2"/>
        <scheme val="minor"/>
      </font>
      <fill>
        <patternFill patternType="solid">
          <fgColor indexed="64"/>
          <bgColor rgb="FFF6D38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/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theme="2" tint="-0.499984740745262"/>
        </left>
        <right/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</dxfs>
  <tableStyles count="0" defaultTableStyle="TableStyleMedium2" defaultPivotStyle="PivotStyleLight16"/>
  <colors>
    <mruColors>
      <color rgb="FF191412"/>
      <color rgb="FF0B0A0A"/>
      <color rgb="FFF6D384"/>
      <color rgb="FFD4CDC7"/>
      <color rgb="FFB62821"/>
      <color rgb="FFE27D1F"/>
      <color rgb="FF72300C"/>
      <color rgb="FFDEDB70"/>
      <color rgb="FF86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rgbClr val="191412"/>
                </a:solidFill>
              </a:rPr>
              <a:t>Faturamento por Categoria</a:t>
            </a:r>
            <a:endParaRPr lang="pt-BR" b="0">
              <a:solidFill>
                <a:srgbClr val="1914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9141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2300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141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FRUTAS</c:v>
              </c:pt>
              <c:pt idx="1">
                <c:v>GELEIAS</c:v>
              </c:pt>
              <c:pt idx="2">
                <c:v>VEGETAIS</c:v>
              </c:pt>
            </c:strLit>
          </c:cat>
          <c:val>
            <c:numLit>
              <c:formatCode>General</c:formatCode>
              <c:ptCount val="3"/>
              <c:pt idx="0">
                <c:v>125</c:v>
              </c:pt>
              <c:pt idx="1">
                <c:v>236</c:v>
              </c:pt>
              <c:pt idx="2">
                <c:v>75.800000000000011</c:v>
              </c:pt>
            </c:numLit>
          </c:val>
          <c:extLst>
            <c:ext xmlns:c16="http://schemas.microsoft.com/office/drawing/2014/chart" uri="{C3380CC4-5D6E-409C-BE32-E72D297353CC}">
              <c16:uniqueId val="{00000000-C601-49CC-A209-92633465F1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03584495"/>
        <c:axId val="1403583055"/>
      </c:barChart>
      <c:catAx>
        <c:axId val="140358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3583055"/>
        <c:crosses val="autoZero"/>
        <c:auto val="1"/>
        <c:lblAlgn val="ctr"/>
        <c:lblOffset val="100"/>
        <c:noMultiLvlLbl val="0"/>
      </c:catAx>
      <c:valAx>
        <c:axId val="140358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35844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[Analise-Dados-Divino-Pomar.xlsx]Análises!Tabela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solidFill>
                  <a:srgbClr val="191412"/>
                </a:solidFill>
              </a:rPr>
              <a:t>Faturamento por Tipo de Cliente</a:t>
            </a:r>
            <a:endParaRPr lang="en-US" b="0">
              <a:solidFill>
                <a:srgbClr val="191412"/>
              </a:solidFill>
            </a:endParaRPr>
          </a:p>
        </c:rich>
      </c:tx>
      <c:layout>
        <c:manualLayout>
          <c:xMode val="edge"/>
          <c:yMode val="edge"/>
          <c:x val="0.263159667541557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9141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388888888888889"/>
              <c:y val="-0.2268518518518518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7.7777777777777779E-2"/>
              <c:y val="-0.1111111111111111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.1388888888888889"/>
              <c:y val="-0.2268518518518518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7.7777777777777779E-2"/>
              <c:y val="-0.1111111111111111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433753721937783E-2"/>
              <c:y val="-0.386989106430894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75664633326573"/>
                  <c:h val="0.22177498892562186"/>
                </c:manualLayout>
              </c15:layout>
            </c:ext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3821973297766162E-2"/>
              <c:y val="-5.72063086137011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480126512187506"/>
                  <c:h val="0.1502001278203031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49-4EF6-BA10-A9F0D4FCA428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49-4EF6-BA10-A9F0D4FCA428}"/>
              </c:ext>
            </c:extLst>
          </c:dPt>
          <c:dLbls>
            <c:dLbl>
              <c:idx val="0"/>
              <c:layout>
                <c:manualLayout>
                  <c:x val="-3.2433753721937783E-2"/>
                  <c:y val="-0.386989106430894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5664633326573"/>
                      <c:h val="0.22177498892562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249-4EF6-BA10-A9F0D4FCA428}"/>
                </c:ext>
              </c:extLst>
            </c:dLbl>
            <c:dLbl>
              <c:idx val="1"/>
              <c:layout>
                <c:manualLayout>
                  <c:x val="2.3821973297766162E-2"/>
                  <c:y val="-5.7206308613701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80126512187506"/>
                      <c:h val="0.150200127820303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249-4EF6-BA10-A9F0D4FCA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Análises!$A$4:$A$6</c:f>
              <c:strCache>
                <c:ptCount val="2"/>
                <c:pt idx="0">
                  <c:v>ASSINANTE PREMIUM</c:v>
                </c:pt>
                <c:pt idx="1">
                  <c:v>CLIENTE AVULSO</c:v>
                </c:pt>
              </c:strCache>
            </c:strRef>
          </c:cat>
          <c:val>
            <c:numRef>
              <c:f>Análises!$B$4:$B$6</c:f>
              <c:numCache>
                <c:formatCode>"R$"\ #,##0.00</c:formatCode>
                <c:ptCount val="2"/>
                <c:pt idx="0">
                  <c:v>288.59999999999997</c:v>
                </c:pt>
                <c:pt idx="1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49-4EF6-BA10-A9F0D4FCA4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204340920214744"/>
          <c:y val="0.60485385185033602"/>
          <c:w val="0.46952204047193924"/>
          <c:h val="0.2856590589951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9141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Produtos Mais Vendidos (Qtd)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9141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2300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19141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BROTOS DE ALFAFA</c:v>
              </c:pt>
              <c:pt idx="1">
                <c:v>GELEIA DE FRAMBOESA</c:v>
              </c:pt>
              <c:pt idx="2">
                <c:v>GELEIA DE PIMENTA ARTESANAL</c:v>
              </c:pt>
              <c:pt idx="3">
                <c:v>MANGA PALMER PREMIUM</c:v>
              </c:pt>
              <c:pt idx="4">
                <c:v>MINI ALFACE HIDROPÔNICA</c:v>
              </c:pt>
              <c:pt idx="5">
                <c:v>MORANGO ORGÂNICO</c:v>
              </c:pt>
              <c:pt idx="6">
                <c:v>TOMATE CEREJA</c:v>
              </c:pt>
            </c:strLit>
          </c:cat>
          <c:val>
            <c:numLit>
              <c:formatCode>General</c:formatCode>
              <c:ptCount val="7"/>
              <c:pt idx="0">
                <c:v>29</c:v>
              </c:pt>
              <c:pt idx="1">
                <c:v>36</c:v>
              </c:pt>
              <c:pt idx="2">
                <c:v>74</c:v>
              </c:pt>
              <c:pt idx="3">
                <c:v>58</c:v>
              </c:pt>
              <c:pt idx="4">
                <c:v>11</c:v>
              </c:pt>
              <c:pt idx="5">
                <c:v>67</c:v>
              </c:pt>
              <c:pt idx="6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0-35B6-4CE0-9C6C-E6DCAB85D5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31047487"/>
        <c:axId val="1431049887"/>
      </c:barChart>
      <c:catAx>
        <c:axId val="143104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1049887"/>
        <c:crosses val="autoZero"/>
        <c:auto val="1"/>
        <c:lblAlgn val="ctr"/>
        <c:lblOffset val="100"/>
        <c:noMultiLvlLbl val="0"/>
      </c:catAx>
      <c:valAx>
        <c:axId val="143104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10474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19141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rgbClr val="191412"/>
                </a:solidFill>
              </a:rPr>
              <a:t>Status dos Pedidos (Qtd)</a:t>
            </a:r>
            <a:endParaRPr lang="en-US" b="0">
              <a:solidFill>
                <a:srgbClr val="1914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9141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2300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141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CANCELADO</c:v>
              </c:pt>
              <c:pt idx="1">
                <c:v>ENTREGUE</c:v>
              </c:pt>
              <c:pt idx="2">
                <c:v>PERDIDO (DESPERDÍCIO)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268</c:v>
              </c:pt>
              <c:pt idx="2">
                <c:v>53</c:v>
              </c:pt>
            </c:numLit>
          </c:val>
          <c:extLst>
            <c:ext xmlns:c16="http://schemas.microsoft.com/office/drawing/2014/chart" uri="{C3380CC4-5D6E-409C-BE32-E72D297353CC}">
              <c16:uniqueId val="{00000000-F56F-4423-AA9A-A34C8D5BAE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0475840"/>
        <c:axId val="250476320"/>
      </c:barChart>
      <c:catAx>
        <c:axId val="25047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476320"/>
        <c:crosses val="autoZero"/>
        <c:auto val="1"/>
        <c:lblAlgn val="ctr"/>
        <c:lblOffset val="100"/>
        <c:noMultiLvlLbl val="0"/>
      </c:catAx>
      <c:valAx>
        <c:axId val="25047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141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4758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67735</xdr:colOff>
      <xdr:row>12</xdr:row>
      <xdr:rowOff>93133</xdr:rowOff>
    </xdr:from>
    <xdr:to>
      <xdr:col>18</xdr:col>
      <xdr:colOff>296333</xdr:colOff>
      <xdr:row>27</xdr:row>
      <xdr:rowOff>67733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251015-B195-440E-A537-72DF5DA94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541370</xdr:colOff>
      <xdr:row>0</xdr:row>
      <xdr:rowOff>177740</xdr:rowOff>
    </xdr:from>
    <xdr:to>
      <xdr:col>11</xdr:col>
      <xdr:colOff>533400</xdr:colOff>
      <xdr:row>11</xdr:row>
      <xdr:rowOff>118534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E11BF3-E910-44F3-ADE2-C0EEF3EE8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151115</xdr:colOff>
      <xdr:row>12</xdr:row>
      <xdr:rowOff>76200</xdr:rowOff>
    </xdr:from>
    <xdr:to>
      <xdr:col>8</xdr:col>
      <xdr:colOff>499533</xdr:colOff>
      <xdr:row>27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B26813-1339-4A17-9621-D38DF469A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183113</xdr:colOff>
      <xdr:row>0</xdr:row>
      <xdr:rowOff>166997</xdr:rowOff>
    </xdr:from>
    <xdr:to>
      <xdr:col>18</xdr:col>
      <xdr:colOff>245534</xdr:colOff>
      <xdr:row>11</xdr:row>
      <xdr:rowOff>84667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89C3DEF-03A9-4FF1-9D8D-6C24AD4E6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169335</xdr:colOff>
      <xdr:row>0</xdr:row>
      <xdr:rowOff>143933</xdr:rowOff>
    </xdr:from>
    <xdr:to>
      <xdr:col>5</xdr:col>
      <xdr:colOff>313267</xdr:colOff>
      <xdr:row>11</xdr:row>
      <xdr:rowOff>114645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FB04A66-30B4-6826-CE17-FEE3FC61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5" y="143933"/>
          <a:ext cx="3191932" cy="201964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SINHA FOFINHA" refreshedDate="46170.794371296295" createdVersion="8" refreshedVersion="8" minRefreshableVersion="3" recordCount="50" xr:uid="{C34F42B8-6A8C-4836-83B7-EDC09D778C66}">
  <cacheSource type="worksheet">
    <worksheetSource name="fVendas"/>
  </cacheSource>
  <cacheFields count="11">
    <cacheField name="ID_PEDIDO" numFmtId="0">
      <sharedItems/>
    </cacheField>
    <cacheField name="DATA_PEDIDO" numFmtId="14">
      <sharedItems containsSemiMixedTypes="0" containsNonDate="0" containsDate="1" containsString="0" minDate="2026-05-01T00:00:00" maxDate="2026-05-29T00:00:00"/>
    </cacheField>
    <cacheField name="DATA_ENTREGA" numFmtId="14">
      <sharedItems containsNonDate="0" containsDate="1" containsString="0" containsBlank="1" minDate="2026-05-02T00:00:00" maxDate="2026-06-02T00:00:00"/>
    </cacheField>
    <cacheField name="TIPO_CLIENTE" numFmtId="0">
      <sharedItems count="2">
        <s v="ASSINANTE PREMIUM"/>
        <s v="CLIENTE AVULSO"/>
      </sharedItems>
    </cacheField>
    <cacheField name="CANAL_VENDA" numFmtId="0">
      <sharedItems/>
    </cacheField>
    <cacheField name="PRODUTO" numFmtId="0">
      <sharedItems count="7">
        <s v="MORANGO ORGÂNICO"/>
        <s v="MINI ALFACE HIDROPÔNICA"/>
        <s v="GELEIA DE FRAMBOESA"/>
        <s v="TOMATE CEREJA"/>
        <s v="GELEIA DE PIMENTA ARTESANAL"/>
        <s v="MANGA PALMER PREMIUM"/>
        <s v="BROTOS DE ALFAFA"/>
      </sharedItems>
    </cacheField>
    <cacheField name="CATEGORIA" numFmtId="0">
      <sharedItems count="3">
        <s v="FRUTAS"/>
        <s v="VEGETAIS"/>
        <s v="GELEIAS"/>
      </sharedItems>
    </cacheField>
    <cacheField name="QUANTIDADE" numFmtId="1">
      <sharedItems containsSemiMixedTypes="0" containsString="0" containsNumber="1" containsInteger="1" minValue="1" maxValue="15"/>
    </cacheField>
    <cacheField name="CUSTO_UNITARIO" numFmtId="164">
      <sharedItems containsSemiMixedTypes="0" containsString="0" containsNumber="1" minValue="1.2" maxValue="5.5"/>
    </cacheField>
    <cacheField name="PRECO_VENDA" numFmtId="164">
      <sharedItems containsSemiMixedTypes="0" containsString="0" containsNumber="1" minValue="3.5" maxValue="14"/>
    </cacheField>
    <cacheField name="STATUS_PEDIDO" numFmtId="0">
      <sharedItems count="3">
        <s v="ENTREGUE"/>
        <s v="PERDIDO (DESPERDÍCIO)"/>
        <s v="CANCEL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DP-2026-001"/>
    <d v="2026-05-01T00:00:00"/>
    <d v="2026-05-03T00:00:00"/>
    <x v="0"/>
    <s v="E-COMMERCE (ASSINATURA)"/>
    <x v="0"/>
    <x v="0"/>
    <n v="5"/>
    <n v="3.5"/>
    <n v="7"/>
    <x v="0"/>
  </r>
  <r>
    <s v="DP-2026-002"/>
    <d v="2026-05-01T00:00:00"/>
    <d v="2026-05-02T00:00:00"/>
    <x v="1"/>
    <s v="LOJA FÍSICA"/>
    <x v="1"/>
    <x v="1"/>
    <n v="2"/>
    <n v="1.2"/>
    <n v="3.5"/>
    <x v="0"/>
  </r>
  <r>
    <s v="DP-2026-003"/>
    <d v="2026-05-02T00:00:00"/>
    <d v="2026-05-06T00:00:00"/>
    <x v="0"/>
    <s v="E-COMMERCE (ASSINATURA)"/>
    <x v="2"/>
    <x v="2"/>
    <n v="1"/>
    <n v="5"/>
    <n v="12"/>
    <x v="0"/>
  </r>
  <r>
    <s v="DP-2026-004"/>
    <d v="2026-05-02T00:00:00"/>
    <m/>
    <x v="1"/>
    <s v="E-COMMERCE (ASSINATURA)"/>
    <x v="0"/>
    <x v="0"/>
    <n v="10"/>
    <n v="3.5"/>
    <n v="7"/>
    <x v="1"/>
  </r>
  <r>
    <s v="DP-2026-005"/>
    <d v="2026-05-03T00:00:00"/>
    <d v="2026-05-04T00:00:00"/>
    <x v="1"/>
    <s v="LOJA FÍSICA"/>
    <x v="3"/>
    <x v="1"/>
    <n v="4"/>
    <n v="2"/>
    <n v="5"/>
    <x v="0"/>
  </r>
  <r>
    <s v="DP-2026-006"/>
    <d v="2026-05-04T00:00:00"/>
    <d v="2026-05-04T00:00:00"/>
    <x v="1"/>
    <s v="LOJA FÍSICA"/>
    <x v="2"/>
    <x v="2"/>
    <n v="2"/>
    <n v="5"/>
    <n v="12"/>
    <x v="0"/>
  </r>
  <r>
    <s v="DP-2026-007"/>
    <d v="2026-05-05T00:00:00"/>
    <d v="2026-05-09T00:00:00"/>
    <x v="0"/>
    <s v="E-COMMERCE (ASSINATURA)"/>
    <x v="1"/>
    <x v="1"/>
    <n v="3"/>
    <n v="1.2"/>
    <n v="3.5"/>
    <x v="0"/>
  </r>
  <r>
    <s v="DP-2026-008"/>
    <d v="2026-05-05T00:00:00"/>
    <m/>
    <x v="1"/>
    <s v="LOJA FÍSICA"/>
    <x v="3"/>
    <x v="1"/>
    <n v="8"/>
    <n v="2"/>
    <n v="5"/>
    <x v="2"/>
  </r>
  <r>
    <s v="DP-2026-009"/>
    <d v="2026-05-06T00:00:00"/>
    <d v="2026-05-07T00:00:00"/>
    <x v="0"/>
    <s v="E-COMMERCE (ASSINATURA)"/>
    <x v="0"/>
    <x v="0"/>
    <n v="6"/>
    <n v="3.5"/>
    <n v="7"/>
    <x v="0"/>
  </r>
  <r>
    <s v="DP-2026-010"/>
    <d v="2026-05-06T00:00:00"/>
    <d v="2026-05-08T00:00:00"/>
    <x v="1"/>
    <s v="LOJA FÍSICA"/>
    <x v="2"/>
    <x v="2"/>
    <n v="1"/>
    <n v="5"/>
    <n v="12"/>
    <x v="0"/>
  </r>
  <r>
    <s v="DP-2026-011"/>
    <d v="2026-05-07T00:00:00"/>
    <d v="2026-05-12T00:00:00"/>
    <x v="0"/>
    <s v="E-COMMERCE (ASSINATURA)"/>
    <x v="3"/>
    <x v="1"/>
    <n v="5"/>
    <n v="2"/>
    <n v="5"/>
    <x v="0"/>
  </r>
  <r>
    <s v="DP-2026-012"/>
    <d v="2026-05-08T00:00:00"/>
    <m/>
    <x v="0"/>
    <s v="E-COMMERCE (ASSINATURA)"/>
    <x v="0"/>
    <x v="0"/>
    <n v="12"/>
    <n v="3.5"/>
    <n v="7"/>
    <x v="1"/>
  </r>
  <r>
    <s v="DP-2026-013"/>
    <d v="2026-05-07T00:00:00"/>
    <d v="2026-05-09T00:00:00"/>
    <x v="0"/>
    <s v="E-COMMERCE (ASSINATURA)"/>
    <x v="4"/>
    <x v="2"/>
    <n v="1"/>
    <n v="5.5"/>
    <n v="14"/>
    <x v="0"/>
  </r>
  <r>
    <s v="DP-2026-014"/>
    <d v="2026-05-08T00:00:00"/>
    <d v="2026-05-10T00:00:00"/>
    <x v="1"/>
    <s v="LOJA FÍSICA"/>
    <x v="5"/>
    <x v="0"/>
    <n v="4"/>
    <n v="4"/>
    <n v="9.5"/>
    <x v="0"/>
  </r>
  <r>
    <s v="DP-2026-015"/>
    <d v="2026-05-08T00:00:00"/>
    <d v="2026-05-11T00:00:00"/>
    <x v="0"/>
    <s v="E-COMMERCE (ASSINATURA)"/>
    <x v="6"/>
    <x v="1"/>
    <n v="11"/>
    <n v="1.8"/>
    <n v="4.2"/>
    <x v="0"/>
  </r>
  <r>
    <s v="DP-2026-016"/>
    <d v="2026-05-09T00:00:00"/>
    <d v="2026-05-12T00:00:00"/>
    <x v="1"/>
    <s v="LOJA FÍSICA"/>
    <x v="5"/>
    <x v="0"/>
    <n v="14"/>
    <n v="4"/>
    <n v="9.5"/>
    <x v="0"/>
  </r>
  <r>
    <s v="DP-2026-017"/>
    <d v="2026-05-09T00:00:00"/>
    <d v="2026-05-14T00:00:00"/>
    <x v="0"/>
    <s v="E-COMMERCE (ASSINATURA)"/>
    <x v="3"/>
    <x v="1"/>
    <n v="11"/>
    <n v="2"/>
    <n v="5"/>
    <x v="0"/>
  </r>
  <r>
    <s v="DP-2026-018"/>
    <d v="2026-05-10T00:00:00"/>
    <d v="2026-05-13T00:00:00"/>
    <x v="0"/>
    <s v="E-COMMERCE (ASSINATURA)"/>
    <x v="4"/>
    <x v="2"/>
    <n v="3"/>
    <n v="5.5"/>
    <n v="14"/>
    <x v="0"/>
  </r>
  <r>
    <s v="DP-2026-019"/>
    <d v="2026-05-11T00:00:00"/>
    <m/>
    <x v="0"/>
    <s v="E-COMMERCE (ASSINATURA)"/>
    <x v="0"/>
    <x v="0"/>
    <n v="15"/>
    <n v="3.5"/>
    <n v="7"/>
    <x v="1"/>
  </r>
  <r>
    <s v="DP-2026-020"/>
    <d v="2026-05-11T00:00:00"/>
    <d v="2026-05-15T00:00:00"/>
    <x v="1"/>
    <s v="LOJA FÍSICA"/>
    <x v="3"/>
    <x v="1"/>
    <n v="13"/>
    <n v="2"/>
    <n v="5"/>
    <x v="0"/>
  </r>
  <r>
    <s v="DP-2026-021"/>
    <d v="2026-05-12T00:00:00"/>
    <d v="2026-05-14T00:00:00"/>
    <x v="0"/>
    <s v="E-COMMERCE (ASSINATURA)"/>
    <x v="3"/>
    <x v="1"/>
    <n v="6"/>
    <n v="2"/>
    <n v="5"/>
    <x v="0"/>
  </r>
  <r>
    <s v="DP-2026-022"/>
    <d v="2026-05-12T00:00:00"/>
    <d v="2026-05-14T00:00:00"/>
    <x v="1"/>
    <s v="LOJA FÍSICA"/>
    <x v="5"/>
    <x v="0"/>
    <n v="13"/>
    <n v="4"/>
    <n v="9.5"/>
    <x v="0"/>
  </r>
  <r>
    <s v="DP-2026-023"/>
    <d v="2026-05-13T00:00:00"/>
    <d v="2026-05-16T00:00:00"/>
    <x v="0"/>
    <s v="E-COMMERCE (ASSINATURA)"/>
    <x v="5"/>
    <x v="0"/>
    <n v="2"/>
    <n v="4"/>
    <n v="9.5"/>
    <x v="0"/>
  </r>
  <r>
    <s v="DP-2026-024"/>
    <d v="2026-05-13T00:00:00"/>
    <m/>
    <x v="1"/>
    <s v="LOJA FÍSICA"/>
    <x v="4"/>
    <x v="2"/>
    <n v="2"/>
    <n v="5.5"/>
    <n v="14"/>
    <x v="2"/>
  </r>
  <r>
    <s v="DP-2026-025"/>
    <d v="2026-05-14T00:00:00"/>
    <d v="2026-05-19T00:00:00"/>
    <x v="0"/>
    <s v="E-COMMERCE (ASSINATURA)"/>
    <x v="4"/>
    <x v="2"/>
    <n v="7"/>
    <n v="5.5"/>
    <n v="14"/>
    <x v="0"/>
  </r>
  <r>
    <s v="DP-2026-026"/>
    <d v="2026-05-14T00:00:00"/>
    <d v="2026-05-19T00:00:00"/>
    <x v="0"/>
    <s v="E-COMMERCE (ASSINATURA)"/>
    <x v="5"/>
    <x v="0"/>
    <n v="3"/>
    <n v="4"/>
    <n v="9.5"/>
    <x v="0"/>
  </r>
  <r>
    <s v="DP-2026-027"/>
    <d v="2026-05-15T00:00:00"/>
    <d v="2026-05-19T00:00:00"/>
    <x v="0"/>
    <s v="E-COMMERCE (ASSINATURA)"/>
    <x v="2"/>
    <x v="2"/>
    <n v="2"/>
    <n v="5"/>
    <n v="12"/>
    <x v="0"/>
  </r>
  <r>
    <s v="DP-2026-028"/>
    <d v="2026-05-16T00:00:00"/>
    <m/>
    <x v="1"/>
    <s v="LOJA FÍSICA"/>
    <x v="5"/>
    <x v="0"/>
    <n v="4"/>
    <n v="4"/>
    <n v="9.5"/>
    <x v="2"/>
  </r>
  <r>
    <s v="DP-2026-029"/>
    <d v="2026-05-16T00:00:00"/>
    <d v="2026-05-17T00:00:00"/>
    <x v="1"/>
    <s v="LOJA FÍSICA"/>
    <x v="3"/>
    <x v="1"/>
    <n v="5"/>
    <n v="2"/>
    <n v="5"/>
    <x v="0"/>
  </r>
  <r>
    <s v="DP-2026-030"/>
    <d v="2026-05-17T00:00:00"/>
    <d v="2026-05-20T00:00:00"/>
    <x v="0"/>
    <s v="E-COMMERCE (ASSINATURA)"/>
    <x v="6"/>
    <x v="1"/>
    <n v="4"/>
    <n v="1.8"/>
    <n v="4.2"/>
    <x v="0"/>
  </r>
  <r>
    <s v="DP-2026-031"/>
    <d v="2026-05-17T00:00:00"/>
    <d v="2026-05-21T00:00:00"/>
    <x v="0"/>
    <s v="E-COMMERCE (ASSINATURA)"/>
    <x v="3"/>
    <x v="1"/>
    <n v="6"/>
    <n v="2"/>
    <n v="5"/>
    <x v="0"/>
  </r>
  <r>
    <s v="DP-2026-032"/>
    <d v="2026-05-18T00:00:00"/>
    <d v="2026-05-23T00:00:00"/>
    <x v="0"/>
    <s v="E-COMMERCE (ASSINATURA)"/>
    <x v="4"/>
    <x v="2"/>
    <n v="13"/>
    <n v="5.5"/>
    <n v="14"/>
    <x v="0"/>
  </r>
  <r>
    <s v="DP-2026-033"/>
    <d v="2026-05-18T00:00:00"/>
    <d v="2026-05-22T00:00:00"/>
    <x v="0"/>
    <s v="E-COMMERCE (ASSINATURA)"/>
    <x v="2"/>
    <x v="2"/>
    <n v="2"/>
    <n v="5"/>
    <n v="12"/>
    <x v="0"/>
  </r>
  <r>
    <s v="DP-2026-034"/>
    <d v="2026-05-19T00:00:00"/>
    <m/>
    <x v="0"/>
    <s v="E-COMMERCE (ASSINATURA)"/>
    <x v="5"/>
    <x v="0"/>
    <n v="5"/>
    <n v="4"/>
    <n v="9.5"/>
    <x v="1"/>
  </r>
  <r>
    <s v="DP-2026-035"/>
    <d v="2026-05-19T00:00:00"/>
    <d v="2026-05-21T00:00:00"/>
    <x v="1"/>
    <s v="LOJA FÍSICA"/>
    <x v="0"/>
    <x v="0"/>
    <n v="8"/>
    <n v="3.5"/>
    <n v="7"/>
    <x v="0"/>
  </r>
  <r>
    <s v="DP-2026-036"/>
    <d v="2026-05-20T00:00:00"/>
    <d v="2026-05-24T00:00:00"/>
    <x v="0"/>
    <s v="E-COMMERCE (ASSINATURA)"/>
    <x v="4"/>
    <x v="2"/>
    <n v="13"/>
    <n v="5.5"/>
    <n v="14"/>
    <x v="0"/>
  </r>
  <r>
    <s v="DP-2026-037"/>
    <d v="2026-05-21T00:00:00"/>
    <d v="2026-05-23T00:00:00"/>
    <x v="0"/>
    <s v="E-COMMERCE (ASSINATURA)"/>
    <x v="2"/>
    <x v="2"/>
    <n v="7"/>
    <n v="5"/>
    <n v="12"/>
    <x v="0"/>
  </r>
  <r>
    <s v="DP-2026-038"/>
    <d v="2026-05-21T00:00:00"/>
    <d v="2026-05-23T00:00:00"/>
    <x v="0"/>
    <s v="E-COMMERCE (ASSINATURA)"/>
    <x v="4"/>
    <x v="2"/>
    <n v="8"/>
    <n v="5.5"/>
    <n v="14"/>
    <x v="0"/>
  </r>
  <r>
    <s v="DP-2026-039"/>
    <d v="2026-05-22T00:00:00"/>
    <d v="2026-05-25T00:00:00"/>
    <x v="0"/>
    <s v="E-COMMERCE (ASSINATURA)"/>
    <x v="3"/>
    <x v="1"/>
    <n v="2"/>
    <n v="2"/>
    <n v="5"/>
    <x v="0"/>
  </r>
  <r>
    <s v="DP-2026-040"/>
    <d v="2026-05-22T00:00:00"/>
    <d v="2026-05-23T00:00:00"/>
    <x v="1"/>
    <s v="LOJA FÍSICA"/>
    <x v="1"/>
    <x v="1"/>
    <n v="3"/>
    <n v="1.2"/>
    <n v="3.5"/>
    <x v="0"/>
  </r>
  <r>
    <s v="DP-2026-041"/>
    <d v="2026-05-23T00:00:00"/>
    <d v="2026-05-24T00:00:00"/>
    <x v="0"/>
    <s v="E-COMMERCE (ASSINATURA)"/>
    <x v="2"/>
    <x v="2"/>
    <n v="6"/>
    <n v="5"/>
    <n v="12"/>
    <x v="0"/>
  </r>
  <r>
    <s v="DP-2026-042"/>
    <d v="2026-05-23T00:00:00"/>
    <d v="2026-05-24T00:00:00"/>
    <x v="1"/>
    <s v="LOJA FÍSICA"/>
    <x v="1"/>
    <x v="1"/>
    <n v="3"/>
    <n v="1.2"/>
    <n v="3.5"/>
    <x v="0"/>
  </r>
  <r>
    <s v="DP-2026-043"/>
    <d v="2026-05-24T00:00:00"/>
    <d v="2026-05-28T00:00:00"/>
    <x v="0"/>
    <s v="E-COMMERCE (ASSINATURA)"/>
    <x v="4"/>
    <x v="2"/>
    <n v="4"/>
    <n v="5.5"/>
    <n v="14"/>
    <x v="0"/>
  </r>
  <r>
    <s v="DP-2026-044"/>
    <d v="2026-05-24T00:00:00"/>
    <d v="2026-05-24T00:00:00"/>
    <x v="1"/>
    <s v="LOJA FÍSICA"/>
    <x v="6"/>
    <x v="1"/>
    <n v="3"/>
    <n v="1.8"/>
    <n v="4.2"/>
    <x v="0"/>
  </r>
  <r>
    <s v="DP-2026-045"/>
    <d v="2026-05-25T00:00:00"/>
    <d v="2026-05-30T00:00:00"/>
    <x v="0"/>
    <s v="E-COMMERCE (ASSINATURA)"/>
    <x v="6"/>
    <x v="1"/>
    <n v="11"/>
    <n v="1.8"/>
    <n v="4.2"/>
    <x v="0"/>
  </r>
  <r>
    <s v="DP-2026-046"/>
    <d v="2026-05-26T00:00:00"/>
    <d v="2026-05-31T00:00:00"/>
    <x v="1"/>
    <s v="LOJA FÍSICA"/>
    <x v="4"/>
    <x v="2"/>
    <n v="11"/>
    <n v="5.5"/>
    <n v="14"/>
    <x v="0"/>
  </r>
  <r>
    <s v="DP-2026-047"/>
    <d v="2026-05-26T00:00:00"/>
    <d v="2026-05-30T00:00:00"/>
    <x v="0"/>
    <s v="E-COMMERCE (ASSINATURA)"/>
    <x v="4"/>
    <x v="2"/>
    <n v="12"/>
    <n v="5.5"/>
    <n v="14"/>
    <x v="0"/>
  </r>
  <r>
    <s v="DP-2026-048"/>
    <d v="2026-05-27T00:00:00"/>
    <d v="2026-05-31T00:00:00"/>
    <x v="0"/>
    <s v="E-COMMERCE (ASSINATURA)"/>
    <x v="2"/>
    <x v="2"/>
    <n v="15"/>
    <n v="5"/>
    <n v="12"/>
    <x v="0"/>
  </r>
  <r>
    <s v="DP-2026-049"/>
    <d v="2026-05-27T00:00:00"/>
    <m/>
    <x v="0"/>
    <s v="E-COMMERCE (ASSINATURA)"/>
    <x v="0"/>
    <x v="0"/>
    <n v="11"/>
    <n v="3.5"/>
    <n v="7"/>
    <x v="1"/>
  </r>
  <r>
    <s v="DP-2026-050"/>
    <d v="2026-05-28T00:00:00"/>
    <d v="2026-06-01T00:00:00"/>
    <x v="1"/>
    <s v="LOJA FÍSICA"/>
    <x v="5"/>
    <x v="0"/>
    <n v="13"/>
    <n v="4"/>
    <n v="9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2BF1-A21E-4BA5-9CF9-2DDE7F76BCF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TIPO DE CLIENTE">
  <location ref="A3:B6" firstHeaderRow="1" firstDataRow="1" firstDataCol="1"/>
  <pivotFields count="11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numFmtId="1" showAll="0"/>
    <pivotField numFmtId="164" showAll="0"/>
    <pivotField dataField="1" numFmtId="164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FATURAMENTO" fld="9" baseField="6" baseItem="0" numFmtId="164"/>
  </dataFields>
  <formats count="20">
    <format dxfId="94">
      <pivotArea field="3" type="button" dataOnly="0" labelOnly="1" outline="0" axis="axisRow" fieldPosition="0"/>
    </format>
    <format dxfId="93">
      <pivotArea dataOnly="0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3" type="button" dataOnly="0" labelOnly="1" outline="0" axis="axisRow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Dark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898-1C34-41FF-B320-97487214F0D2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 rowHeaderCaption="PRODUTO">
  <location ref="D3:E11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8">
        <item x="6"/>
        <item x="2"/>
        <item x="4"/>
        <item x="5"/>
        <item x="1"/>
        <item x="0"/>
        <item x="3"/>
        <item t="default"/>
      </items>
    </pivotField>
    <pivotField showAll="0"/>
    <pivotField dataField="1" numFmtId="1" showAll="0"/>
    <pivotField numFmtId="164" showAll="0"/>
    <pivotField numFmtId="164"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UANTIDADE VENDIDA" fld="7" baseField="5" baseItem="0"/>
  </dataFields>
  <formats count="20">
    <format dxfId="96">
      <pivotArea field="5" type="button" dataOnly="0" labelOnly="1" outline="0" axis="axisRow" fieldPosition="0"/>
    </format>
    <format dxfId="95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5" type="button" dataOnly="0" labelOnly="1" outline="0" axis="axisRow" fieldPosition="0"/>
    </format>
    <format dxfId="52">
      <pivotArea dataOnly="0" labelOnly="1" fieldPosition="0">
        <references count="1">
          <reference field="5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5" type="button" dataOnly="0" labelOnly="1" outline="0" axis="axisRow" fieldPosition="0"/>
    </format>
    <format dxfId="46">
      <pivotArea dataOnly="0" labelOnly="1" fieldPosition="0">
        <references count="1">
          <reference field="5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F5F94-6B29-473D-B2C5-4F8B017CAD18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ATEGORIA">
  <location ref="A14:B18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numFmtId="164" showAll="0"/>
    <pivotField dataField="1" numFmtId="164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" fld="9" baseField="6" baseItem="0" numFmtId="164"/>
  </dataFields>
  <formats count="20">
    <format dxfId="98">
      <pivotArea field="6" type="button" dataOnly="0" labelOnly="1" outline="0" axis="axisRow" fieldPosition="0"/>
    </format>
    <format dxfId="97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6" type="button" dataOnly="0" labelOnly="1" outline="0" axis="axisRow" fieldPosition="0"/>
    </format>
    <format dxfId="64">
      <pivotArea dataOnly="0" labelOnly="1" fieldPosition="0">
        <references count="1">
          <reference field="6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6" type="button" dataOnly="0" labelOnly="1" outline="0" axis="axisRow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6" type="button" dataOnly="0" labelOnly="1" outline="0" axis="axisRow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90FCB-8DA8-4A6B-82BA-AAFFC362586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STATUS DO PEDIDO">
  <location ref="A8:B12" firstHeaderRow="1" firstDataRow="1" firstDataCol="1"/>
  <pivotFields count="11">
    <pivotField showAll="0"/>
    <pivotField numFmtId="14" showAll="0"/>
    <pivotField showAll="0"/>
    <pivotField showAll="0"/>
    <pivotField showAll="0"/>
    <pivotField showAll="0">
      <items count="8">
        <item x="6"/>
        <item x="2"/>
        <item x="4"/>
        <item x="5"/>
        <item x="1"/>
        <item x="0"/>
        <item x="3"/>
        <item t="default"/>
      </items>
    </pivotField>
    <pivotField showAll="0"/>
    <pivotField dataField="1" numFmtId="1" showAll="0"/>
    <pivotField numFmtId="164" showAll="0"/>
    <pivotField numFmtId="164" showAll="0"/>
    <pivotField axis="axisRow" showAll="0">
      <items count="4">
        <item x="2"/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ITENS" fld="7" baseField="10" baseItem="0"/>
  </dataFields>
  <formats count="20">
    <format dxfId="100">
      <pivotArea field="10" type="button" dataOnly="0" labelOnly="1" outline="0" axis="axisRow" fieldPosition="0"/>
    </format>
    <format dxfId="99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0" type="button" dataOnly="0" labelOnly="1" outline="0" axis="axisRow" fieldPosition="0"/>
    </format>
    <format dxfId="76">
      <pivotArea dataOnly="0" labelOnly="1" fieldPosition="0">
        <references count="1">
          <reference field="10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0" type="button" dataOnly="0" labelOnly="1" outline="0" axis="axisRow" fieldPosition="0"/>
    </format>
    <format dxfId="70">
      <pivotArea dataOnly="0" labelOnly="1" fieldPosition="0">
        <references count="1">
          <reference field="10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0" type="button" dataOnly="0" labelOnly="1" outline="0" axis="axisRow" fieldPosition="0"/>
    </format>
    <format dxfId="26">
      <pivotArea dataOnly="0" labelOnly="1" fieldPosition="0">
        <references count="1">
          <reference field="1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AFA8A97-077D-4561-8518-8A2E8C0EE166}" autoFormatId="16" applyNumberFormats="0" applyBorderFormats="0" applyFontFormats="0" applyPatternFormats="0" applyAlignmentFormats="0" applyWidthHeightFormats="0">
  <queryTableRefresh nextId="12">
    <queryTableFields count="11">
      <queryTableField id="1" name="ID_Pedido" tableColumnId="1"/>
      <queryTableField id="2" name="Data_Pedido" tableColumnId="2"/>
      <queryTableField id="3" name="Data_Entrega" tableColumnId="3"/>
      <queryTableField id="4" name="Cliente_Tipo" tableColumnId="4"/>
      <queryTableField id="5" name="Canal_Venda" tableColumnId="5"/>
      <queryTableField id="6" name="Produto" tableColumnId="6"/>
      <queryTableField id="7" name="Categoria" tableColumnId="7"/>
      <queryTableField id="8" name="Quantidade" tableColumnId="8"/>
      <queryTableField id="9" name="Custo_Prod_Unit" tableColumnId="9"/>
      <queryTableField id="10" name="Preco_Venda_Unit" tableColumnId="10"/>
      <queryTableField id="11" name="Status_Pedido" tableColumnId="1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3AC43-3254-4CFB-B528-93BD5C9BC076}" name="Tabela1" displayName="Tabela1" ref="A1:K51" totalsRowShown="0">
  <autoFilter ref="A1:K51" xr:uid="{95D3AC43-3254-4CFB-B528-93BD5C9BC076}"/>
  <tableColumns count="11">
    <tableColumn id="1" xr3:uid="{2AB02BF2-CB9B-46EB-BA19-09D5FDAFC0ED}" name="ID_Pedido"/>
    <tableColumn id="2" xr3:uid="{78219161-ED6D-4E10-A45D-E11AD8C28F6B}" name="Data_Pedido" dataDxfId="11"/>
    <tableColumn id="3" xr3:uid="{9C60B81A-0B96-43FD-BE3F-E24E07B794AD}" name="Data_Entrega" dataDxfId="10"/>
    <tableColumn id="4" xr3:uid="{274261D6-72BB-4B53-9FF2-2DAEA943E904}" name="Cliente_Tipo"/>
    <tableColumn id="5" xr3:uid="{D095FD37-CDFB-421A-A201-8520FA786989}" name="Canal_Venda"/>
    <tableColumn id="6" xr3:uid="{033E702C-2053-4033-8466-8CC9AD275861}" name="Produto"/>
    <tableColumn id="7" xr3:uid="{E86F8D06-3ECF-4256-8CD1-BEE7A3A477BA}" name="Categoria"/>
    <tableColumn id="8" xr3:uid="{3AF3DC8E-896B-4130-BEB5-521C9E89D3B7}" name="Quantidade"/>
    <tableColumn id="9" xr3:uid="{2E7DD58D-078E-4759-AA22-442B820E7312}" name="Custo_Prod_Unit" dataDxfId="9"/>
    <tableColumn id="10" xr3:uid="{45551FC4-42EE-4122-A449-56DFAB72FE2E}" name="Preco_Venda_Unit" dataDxfId="8"/>
    <tableColumn id="11" xr3:uid="{59A0F4DE-1660-4C12-A455-4466C7DD5CD3}" name="Status_Pedi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7910F7-C21F-41AA-B596-178D8D1CAD68}" name="Tabela5" displayName="Tabela5" ref="B3:E14" totalsRowShown="0" headerRowDxfId="39" headerRowBorderDxfId="37" tableBorderDxfId="38" totalsRowBorderDxfId="36">
  <autoFilter ref="B3:E14" xr:uid="{F57910F7-C21F-41AA-B596-178D8D1CAD68}"/>
  <tableColumns count="4">
    <tableColumn id="1" xr3:uid="{8DEFF547-6E26-4FFA-B9BE-2C53024CC067}" name="COLUNA" dataDxfId="42"/>
    <tableColumn id="2" xr3:uid="{BAF42354-F3D4-4C1B-B63D-DA337366A303}" name="DESCRIÇÃO" dataDxfId="43"/>
    <tableColumn id="3" xr3:uid="{64F26E05-2968-4D23-B30A-95A72B5DEBA3}" name="TIPO DE DADO" dataDxfId="112"/>
    <tableColumn id="4" xr3:uid="{3105A60F-DF8A-4CCB-BABA-8056CC86C263}" name="EXEMPLO / REGRA DE NEGÓCIO" dataDxfId="1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2E703-3FF4-487A-BCA3-2599C65DE419}" name="fVendas" displayName="fVendas" ref="B3:L53" tableType="queryTable" totalsRowShown="0" headerRowDxfId="92" headerRowBorderDxfId="110">
  <autoFilter ref="B3:L53" xr:uid="{4242E703-3FF4-487A-BCA3-2599C65DE419}"/>
  <tableColumns count="11">
    <tableColumn id="1" xr3:uid="{26966FB4-6217-4445-8824-483C34B1E263}" uniqueName="1" name="ID_PEDIDO" queryTableFieldId="1" dataDxfId="41"/>
    <tableColumn id="2" xr3:uid="{86F3829F-8754-46BB-ACCE-C188B3AD4159}" uniqueName="2" name="DATA_PEDIDO" queryTableFieldId="2" dataDxfId="40"/>
    <tableColumn id="3" xr3:uid="{3DE976B7-13D2-45AB-8EE0-CE3EC8D8350D}" uniqueName="3" name="DATA_ENTREGA" queryTableFieldId="3" dataDxfId="109"/>
    <tableColumn id="4" xr3:uid="{F2AFEE7C-F503-4AE8-8321-E81B2E68EAEF}" uniqueName="4" name="TIPO_CLIENTE" queryTableFieldId="4" dataDxfId="108"/>
    <tableColumn id="5" xr3:uid="{5BD8FF99-25A3-4777-A870-02F92F8D8297}" uniqueName="5" name="CANAL_VENDA" queryTableFieldId="5" dataDxfId="107"/>
    <tableColumn id="6" xr3:uid="{9A9755C9-1F78-41C6-A73A-546C247CC9DE}" uniqueName="6" name="PRODUTO" queryTableFieldId="6" dataDxfId="106"/>
    <tableColumn id="7" xr3:uid="{E13C58F6-5E85-48F4-B6E9-E3BFEF973209}" uniqueName="7" name="CATEGORIA" queryTableFieldId="7" dataDxfId="105"/>
    <tableColumn id="8" xr3:uid="{DF4AA42B-E07C-4749-8CD4-7F23E5D819A8}" uniqueName="8" name="QUANTIDADE" queryTableFieldId="8" dataDxfId="104"/>
    <tableColumn id="9" xr3:uid="{708D301E-58B3-4BE5-AB90-6F0E6C016AA5}" uniqueName="9" name="CUSTO_UNITARIO" queryTableFieldId="9" dataDxfId="103"/>
    <tableColumn id="10" xr3:uid="{C70F3149-AA80-4EC6-BA99-8ADF53392DC8}" uniqueName="10" name="PRECO_VENDA" queryTableFieldId="10" dataDxfId="102"/>
    <tableColumn id="11" xr3:uid="{AF08D0DE-045F-4BD7-AED0-F0B52E81E8D6}" uniqueName="11" name="STATUS_PEDIDO" queryTableFieldId="11" dataDxfId="101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75A239-5814-4012-A11A-F49F0D98655F}" name="Tabela4" displayName="Tabela4" ref="B3:E12" totalsRowShown="0" headerRowDxfId="0" headerRowBorderDxfId="6" tableBorderDxfId="7" totalsRowBorderDxfId="5">
  <autoFilter ref="B3:E12" xr:uid="{7075A239-5814-4012-A11A-F49F0D98655F}"/>
  <tableColumns count="4">
    <tableColumn id="1" xr3:uid="{AB73DC9C-D5C7-43EE-9E68-B53290A5C8B7}" name="Item de Auditoria" dataDxfId="3"/>
    <tableColumn id="2" xr3:uid="{E4848F77-4212-4775-BA53-5BC99DC27F23}" name="Dados Brutos (Origem)" dataDxfId="4"/>
    <tableColumn id="3" xr3:uid="{968D5A5F-AA2F-4AC0-8085-220C2E505DEF}" name="PQ Tratado " dataDxfId="2"/>
    <tableColumn id="4" xr3:uid="{C8D5EDCC-62F0-4F07-8FD1-FA46E4CD4D10}" name="Statu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8AF1-EB7A-427E-8C87-8673EC3A1188}">
  <dimension ref="A1:K51"/>
  <sheetViews>
    <sheetView tabSelected="1" zoomScale="74" zoomScaleNormal="74" workbookViewId="0">
      <selection activeCell="R12" sqref="R12"/>
    </sheetView>
  </sheetViews>
  <sheetFormatPr defaultRowHeight="14.4" x14ac:dyDescent="0.3"/>
  <cols>
    <col min="1" max="1" width="11.6640625" bestFit="1" customWidth="1"/>
    <col min="2" max="2" width="13.44140625" customWidth="1"/>
    <col min="3" max="3" width="13.77734375" customWidth="1"/>
    <col min="4" max="4" width="16.6640625" bestFit="1" customWidth="1"/>
    <col min="5" max="5" width="21.77734375" bestFit="1" customWidth="1"/>
    <col min="6" max="6" width="23.88671875" bestFit="1" customWidth="1"/>
    <col min="7" max="7" width="10.88671875" customWidth="1"/>
    <col min="8" max="8" width="12.6640625" customWidth="1"/>
    <col min="9" max="9" width="16.5546875" style="6" customWidth="1"/>
    <col min="10" max="10" width="17.88671875" style="6" customWidth="1"/>
    <col min="11" max="11" width="1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s="6" t="s">
        <v>9</v>
      </c>
      <c r="K1" t="s">
        <v>10</v>
      </c>
    </row>
    <row r="2" spans="1:11" x14ac:dyDescent="0.3">
      <c r="A2" t="s">
        <v>11</v>
      </c>
      <c r="B2" s="1">
        <v>46143</v>
      </c>
      <c r="C2" s="1">
        <v>46145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 s="6" t="s">
        <v>16</v>
      </c>
      <c r="J2" s="6" t="s">
        <v>17</v>
      </c>
      <c r="K2" t="s">
        <v>18</v>
      </c>
    </row>
    <row r="3" spans="1:11" x14ac:dyDescent="0.3">
      <c r="A3" t="s">
        <v>19</v>
      </c>
      <c r="B3" s="1">
        <v>46143</v>
      </c>
      <c r="C3" s="1">
        <v>46144</v>
      </c>
      <c r="D3" t="s">
        <v>20</v>
      </c>
      <c r="E3" t="s">
        <v>21</v>
      </c>
      <c r="F3" t="s">
        <v>22</v>
      </c>
      <c r="G3" t="s">
        <v>23</v>
      </c>
      <c r="H3">
        <v>2</v>
      </c>
      <c r="I3" s="6" t="s">
        <v>24</v>
      </c>
      <c r="J3" s="6" t="s">
        <v>16</v>
      </c>
      <c r="K3" t="s">
        <v>18</v>
      </c>
    </row>
    <row r="4" spans="1:11" x14ac:dyDescent="0.3">
      <c r="A4" t="s">
        <v>25</v>
      </c>
      <c r="B4" s="1">
        <v>46144</v>
      </c>
      <c r="C4" s="1">
        <v>46148</v>
      </c>
      <c r="D4" t="s">
        <v>12</v>
      </c>
      <c r="E4" t="s">
        <v>13</v>
      </c>
      <c r="F4" t="s">
        <v>26</v>
      </c>
      <c r="G4" t="s">
        <v>27</v>
      </c>
      <c r="H4">
        <v>1</v>
      </c>
      <c r="I4" s="6" t="s">
        <v>28</v>
      </c>
      <c r="J4" s="6" t="s">
        <v>29</v>
      </c>
      <c r="K4" t="s">
        <v>18</v>
      </c>
    </row>
    <row r="5" spans="1:11" x14ac:dyDescent="0.3">
      <c r="A5" t="s">
        <v>30</v>
      </c>
      <c r="B5" s="1">
        <v>46144</v>
      </c>
      <c r="D5" t="s">
        <v>20</v>
      </c>
      <c r="E5" t="s">
        <v>13</v>
      </c>
      <c r="F5" t="s">
        <v>14</v>
      </c>
      <c r="G5" t="s">
        <v>15</v>
      </c>
      <c r="H5">
        <v>10</v>
      </c>
      <c r="I5" s="6" t="s">
        <v>16</v>
      </c>
      <c r="J5" s="6" t="s">
        <v>17</v>
      </c>
      <c r="K5" t="s">
        <v>31</v>
      </c>
    </row>
    <row r="6" spans="1:11" x14ac:dyDescent="0.3">
      <c r="A6" t="s">
        <v>32</v>
      </c>
      <c r="B6" s="1">
        <v>46145</v>
      </c>
      <c r="C6" s="1">
        <v>46146</v>
      </c>
      <c r="D6" t="s">
        <v>20</v>
      </c>
      <c r="E6" t="s">
        <v>21</v>
      </c>
      <c r="F6" t="s">
        <v>33</v>
      </c>
      <c r="G6" t="s">
        <v>23</v>
      </c>
      <c r="H6">
        <v>4</v>
      </c>
      <c r="I6" s="6" t="s">
        <v>34</v>
      </c>
      <c r="J6" s="6" t="s">
        <v>28</v>
      </c>
      <c r="K6" t="s">
        <v>18</v>
      </c>
    </row>
    <row r="7" spans="1:11" x14ac:dyDescent="0.3">
      <c r="A7" t="s">
        <v>35</v>
      </c>
      <c r="B7" s="1">
        <v>46146</v>
      </c>
      <c r="C7" s="1">
        <v>46146</v>
      </c>
      <c r="D7" t="s">
        <v>20</v>
      </c>
      <c r="E7" t="s">
        <v>21</v>
      </c>
      <c r="F7" t="s">
        <v>36</v>
      </c>
      <c r="G7" t="s">
        <v>27</v>
      </c>
      <c r="H7">
        <v>2</v>
      </c>
      <c r="I7" s="6" t="s">
        <v>28</v>
      </c>
      <c r="J7" s="6" t="s">
        <v>29</v>
      </c>
      <c r="K7" t="s">
        <v>18</v>
      </c>
    </row>
    <row r="8" spans="1:11" x14ac:dyDescent="0.3">
      <c r="A8" t="s">
        <v>37</v>
      </c>
      <c r="B8" s="1">
        <v>46147</v>
      </c>
      <c r="C8" s="1">
        <v>46151</v>
      </c>
      <c r="D8" t="s">
        <v>12</v>
      </c>
      <c r="E8" t="s">
        <v>13</v>
      </c>
      <c r="F8" t="s">
        <v>22</v>
      </c>
      <c r="G8" t="s">
        <v>23</v>
      </c>
      <c r="H8">
        <v>3</v>
      </c>
      <c r="I8" s="6" t="s">
        <v>24</v>
      </c>
      <c r="J8" s="6" t="s">
        <v>16</v>
      </c>
      <c r="K8" t="s">
        <v>18</v>
      </c>
    </row>
    <row r="9" spans="1:11" x14ac:dyDescent="0.3">
      <c r="A9" t="s">
        <v>38</v>
      </c>
      <c r="B9" s="1">
        <v>46147</v>
      </c>
      <c r="D9" t="s">
        <v>20</v>
      </c>
      <c r="E9" t="s">
        <v>21</v>
      </c>
      <c r="F9" t="s">
        <v>33</v>
      </c>
      <c r="G9" t="s">
        <v>23</v>
      </c>
      <c r="H9">
        <v>8</v>
      </c>
      <c r="I9" s="6" t="s">
        <v>34</v>
      </c>
      <c r="J9" s="6" t="s">
        <v>28</v>
      </c>
      <c r="K9" t="s">
        <v>39</v>
      </c>
    </row>
    <row r="10" spans="1:11" x14ac:dyDescent="0.3">
      <c r="A10" t="s">
        <v>40</v>
      </c>
      <c r="B10" s="1">
        <v>46148</v>
      </c>
      <c r="C10" s="1">
        <v>46149</v>
      </c>
      <c r="D10" t="s">
        <v>12</v>
      </c>
      <c r="E10" t="s">
        <v>13</v>
      </c>
      <c r="F10" t="s">
        <v>14</v>
      </c>
      <c r="G10" t="s">
        <v>15</v>
      </c>
      <c r="H10">
        <v>6</v>
      </c>
      <c r="I10" s="6" t="s">
        <v>16</v>
      </c>
      <c r="J10" s="6" t="s">
        <v>17</v>
      </c>
      <c r="K10" t="s">
        <v>18</v>
      </c>
    </row>
    <row r="11" spans="1:11" x14ac:dyDescent="0.3">
      <c r="A11" t="s">
        <v>41</v>
      </c>
      <c r="B11" s="1">
        <v>46148</v>
      </c>
      <c r="C11" s="1">
        <v>46150</v>
      </c>
      <c r="D11" t="s">
        <v>20</v>
      </c>
      <c r="E11" t="s">
        <v>21</v>
      </c>
      <c r="F11" t="s">
        <v>26</v>
      </c>
      <c r="G11" t="s">
        <v>27</v>
      </c>
      <c r="H11">
        <v>1</v>
      </c>
      <c r="I11" s="6" t="s">
        <v>28</v>
      </c>
      <c r="J11" s="6" t="s">
        <v>29</v>
      </c>
      <c r="K11" t="s">
        <v>18</v>
      </c>
    </row>
    <row r="12" spans="1:11" x14ac:dyDescent="0.3">
      <c r="A12" t="s">
        <v>42</v>
      </c>
      <c r="B12" s="1">
        <v>46149</v>
      </c>
      <c r="C12" s="1">
        <v>46154</v>
      </c>
      <c r="D12" t="s">
        <v>12</v>
      </c>
      <c r="E12" t="s">
        <v>13</v>
      </c>
      <c r="F12" t="s">
        <v>33</v>
      </c>
      <c r="G12" t="s">
        <v>23</v>
      </c>
      <c r="H12">
        <v>5</v>
      </c>
      <c r="I12" s="6" t="s">
        <v>34</v>
      </c>
      <c r="J12" s="6" t="s">
        <v>28</v>
      </c>
      <c r="K12" t="s">
        <v>18</v>
      </c>
    </row>
    <row r="13" spans="1:11" x14ac:dyDescent="0.3">
      <c r="A13" t="s">
        <v>43</v>
      </c>
      <c r="B13" s="1">
        <v>46150</v>
      </c>
      <c r="D13" t="s">
        <v>12</v>
      </c>
      <c r="E13" t="s">
        <v>13</v>
      </c>
      <c r="F13" t="s">
        <v>14</v>
      </c>
      <c r="G13" t="s">
        <v>15</v>
      </c>
      <c r="H13">
        <v>12</v>
      </c>
      <c r="I13" s="6" t="s">
        <v>16</v>
      </c>
      <c r="J13" s="6" t="s">
        <v>17</v>
      </c>
      <c r="K13" t="s">
        <v>31</v>
      </c>
    </row>
    <row r="14" spans="1:11" x14ac:dyDescent="0.3">
      <c r="A14" t="s">
        <v>44</v>
      </c>
      <c r="B14" s="1">
        <v>46149</v>
      </c>
      <c r="C14" s="1">
        <v>46151</v>
      </c>
      <c r="D14" t="s">
        <v>12</v>
      </c>
      <c r="E14" t="s">
        <v>13</v>
      </c>
      <c r="F14" t="s">
        <v>45</v>
      </c>
      <c r="G14" t="s">
        <v>27</v>
      </c>
      <c r="H14">
        <v>1</v>
      </c>
      <c r="I14" s="6" t="s">
        <v>46</v>
      </c>
      <c r="J14" s="6" t="s">
        <v>47</v>
      </c>
      <c r="K14" t="s">
        <v>18</v>
      </c>
    </row>
    <row r="15" spans="1:11" x14ac:dyDescent="0.3">
      <c r="A15" t="s">
        <v>48</v>
      </c>
      <c r="B15" s="1">
        <v>46150</v>
      </c>
      <c r="C15" s="1">
        <v>46152</v>
      </c>
      <c r="D15" t="s">
        <v>20</v>
      </c>
      <c r="E15" t="s">
        <v>21</v>
      </c>
      <c r="F15" t="s">
        <v>49</v>
      </c>
      <c r="G15" t="s">
        <v>15</v>
      </c>
      <c r="H15">
        <v>4</v>
      </c>
      <c r="I15" s="6" t="s">
        <v>50</v>
      </c>
      <c r="J15" s="6" t="s">
        <v>51</v>
      </c>
      <c r="K15" t="s">
        <v>18</v>
      </c>
    </row>
    <row r="16" spans="1:11" x14ac:dyDescent="0.3">
      <c r="A16" t="s">
        <v>52</v>
      </c>
      <c r="B16" s="1">
        <v>46150</v>
      </c>
      <c r="C16" s="1">
        <v>46153</v>
      </c>
      <c r="D16" t="s">
        <v>12</v>
      </c>
      <c r="E16" t="s">
        <v>13</v>
      </c>
      <c r="F16" t="s">
        <v>53</v>
      </c>
      <c r="G16" t="s">
        <v>23</v>
      </c>
      <c r="H16">
        <v>11</v>
      </c>
      <c r="I16" s="6" t="s">
        <v>54</v>
      </c>
      <c r="J16" s="6" t="s">
        <v>55</v>
      </c>
      <c r="K16" t="s">
        <v>18</v>
      </c>
    </row>
    <row r="17" spans="1:11" x14ac:dyDescent="0.3">
      <c r="A17" t="s">
        <v>56</v>
      </c>
      <c r="B17" s="1">
        <v>46151</v>
      </c>
      <c r="C17" s="1">
        <v>46154</v>
      </c>
      <c r="D17" t="s">
        <v>20</v>
      </c>
      <c r="E17" t="s">
        <v>21</v>
      </c>
      <c r="F17" t="s">
        <v>49</v>
      </c>
      <c r="G17" t="s">
        <v>15</v>
      </c>
      <c r="H17">
        <v>14</v>
      </c>
      <c r="I17" s="6" t="s">
        <v>50</v>
      </c>
      <c r="J17" s="6" t="s">
        <v>51</v>
      </c>
      <c r="K17" t="s">
        <v>18</v>
      </c>
    </row>
    <row r="18" spans="1:11" x14ac:dyDescent="0.3">
      <c r="A18" t="s">
        <v>57</v>
      </c>
      <c r="B18" s="1">
        <v>46151</v>
      </c>
      <c r="C18" s="1">
        <v>46156</v>
      </c>
      <c r="D18" t="s">
        <v>12</v>
      </c>
      <c r="E18" t="s">
        <v>13</v>
      </c>
      <c r="F18" t="s">
        <v>33</v>
      </c>
      <c r="G18" t="s">
        <v>23</v>
      </c>
      <c r="H18">
        <v>11</v>
      </c>
      <c r="I18" s="6" t="s">
        <v>34</v>
      </c>
      <c r="J18" s="6" t="s">
        <v>28</v>
      </c>
      <c r="K18" t="s">
        <v>18</v>
      </c>
    </row>
    <row r="19" spans="1:11" x14ac:dyDescent="0.3">
      <c r="A19" t="s">
        <v>58</v>
      </c>
      <c r="B19" s="1">
        <v>46152</v>
      </c>
      <c r="C19" s="1">
        <v>46155</v>
      </c>
      <c r="D19" t="s">
        <v>12</v>
      </c>
      <c r="E19" t="s">
        <v>13</v>
      </c>
      <c r="F19" t="s">
        <v>45</v>
      </c>
      <c r="G19" t="s">
        <v>27</v>
      </c>
      <c r="H19">
        <v>3</v>
      </c>
      <c r="I19" s="6" t="s">
        <v>46</v>
      </c>
      <c r="J19" s="6" t="s">
        <v>47</v>
      </c>
      <c r="K19" t="s">
        <v>18</v>
      </c>
    </row>
    <row r="20" spans="1:11" x14ac:dyDescent="0.3">
      <c r="A20" t="s">
        <v>59</v>
      </c>
      <c r="B20" s="1">
        <v>46153</v>
      </c>
      <c r="D20" t="s">
        <v>12</v>
      </c>
      <c r="E20" t="s">
        <v>13</v>
      </c>
      <c r="F20" t="s">
        <v>14</v>
      </c>
      <c r="G20" t="s">
        <v>15</v>
      </c>
      <c r="H20">
        <v>15</v>
      </c>
      <c r="I20" s="6" t="s">
        <v>16</v>
      </c>
      <c r="J20" s="6" t="s">
        <v>17</v>
      </c>
      <c r="K20" t="s">
        <v>31</v>
      </c>
    </row>
    <row r="21" spans="1:11" x14ac:dyDescent="0.3">
      <c r="A21" t="s">
        <v>60</v>
      </c>
      <c r="B21" s="1">
        <v>46153</v>
      </c>
      <c r="C21" s="1">
        <v>46157</v>
      </c>
      <c r="D21" t="s">
        <v>20</v>
      </c>
      <c r="E21" t="s">
        <v>21</v>
      </c>
      <c r="F21" t="s">
        <v>61</v>
      </c>
      <c r="G21" t="s">
        <v>23</v>
      </c>
      <c r="H21">
        <v>13</v>
      </c>
      <c r="I21" s="6" t="s">
        <v>34</v>
      </c>
      <c r="J21" s="6" t="s">
        <v>28</v>
      </c>
      <c r="K21" t="s">
        <v>18</v>
      </c>
    </row>
    <row r="22" spans="1:11" x14ac:dyDescent="0.3">
      <c r="A22" t="s">
        <v>62</v>
      </c>
      <c r="B22" s="1">
        <v>46154</v>
      </c>
      <c r="C22" s="1">
        <v>46156</v>
      </c>
      <c r="D22" t="s">
        <v>12</v>
      </c>
      <c r="E22" t="s">
        <v>13</v>
      </c>
      <c r="F22" t="s">
        <v>33</v>
      </c>
      <c r="G22" t="s">
        <v>23</v>
      </c>
      <c r="H22">
        <v>6</v>
      </c>
      <c r="I22" s="6" t="s">
        <v>34</v>
      </c>
      <c r="J22" s="6" t="s">
        <v>28</v>
      </c>
      <c r="K22" t="s">
        <v>18</v>
      </c>
    </row>
    <row r="23" spans="1:11" x14ac:dyDescent="0.3">
      <c r="A23" t="s">
        <v>63</v>
      </c>
      <c r="B23" s="1">
        <v>46154</v>
      </c>
      <c r="C23" s="1">
        <v>46156</v>
      </c>
      <c r="D23" t="s">
        <v>20</v>
      </c>
      <c r="E23" t="s">
        <v>21</v>
      </c>
      <c r="F23" t="s">
        <v>49</v>
      </c>
      <c r="G23" t="s">
        <v>15</v>
      </c>
      <c r="H23">
        <v>13</v>
      </c>
      <c r="I23" s="6" t="s">
        <v>50</v>
      </c>
      <c r="J23" s="6" t="s">
        <v>51</v>
      </c>
      <c r="K23" t="s">
        <v>18</v>
      </c>
    </row>
    <row r="24" spans="1:11" x14ac:dyDescent="0.3">
      <c r="A24" t="s">
        <v>64</v>
      </c>
      <c r="B24" s="1">
        <v>46155</v>
      </c>
      <c r="C24" s="1">
        <v>46158</v>
      </c>
      <c r="D24" t="s">
        <v>12</v>
      </c>
      <c r="E24" t="s">
        <v>13</v>
      </c>
      <c r="F24" t="s">
        <v>49</v>
      </c>
      <c r="G24" t="s">
        <v>15</v>
      </c>
      <c r="H24">
        <v>2</v>
      </c>
      <c r="I24" s="6" t="s">
        <v>50</v>
      </c>
      <c r="J24" s="6" t="s">
        <v>51</v>
      </c>
      <c r="K24" t="s">
        <v>18</v>
      </c>
    </row>
    <row r="25" spans="1:11" x14ac:dyDescent="0.3">
      <c r="A25" t="s">
        <v>65</v>
      </c>
      <c r="B25" s="1">
        <v>46155</v>
      </c>
      <c r="D25" t="s">
        <v>20</v>
      </c>
      <c r="E25" t="s">
        <v>21</v>
      </c>
      <c r="F25" t="s">
        <v>45</v>
      </c>
      <c r="G25" t="s">
        <v>27</v>
      </c>
      <c r="H25">
        <v>2</v>
      </c>
      <c r="I25" s="6" t="s">
        <v>46</v>
      </c>
      <c r="J25" s="6" t="s">
        <v>47</v>
      </c>
      <c r="K25" t="s">
        <v>39</v>
      </c>
    </row>
    <row r="26" spans="1:11" x14ac:dyDescent="0.3">
      <c r="A26" t="s">
        <v>66</v>
      </c>
      <c r="B26" s="1">
        <v>46156</v>
      </c>
      <c r="C26" s="1">
        <v>46161</v>
      </c>
      <c r="D26" t="s">
        <v>12</v>
      </c>
      <c r="E26" t="s">
        <v>13</v>
      </c>
      <c r="F26" t="s">
        <v>45</v>
      </c>
      <c r="G26" t="s">
        <v>27</v>
      </c>
      <c r="H26">
        <v>7</v>
      </c>
      <c r="I26" s="6" t="s">
        <v>46</v>
      </c>
      <c r="J26" s="6" t="s">
        <v>47</v>
      </c>
      <c r="K26" t="s">
        <v>18</v>
      </c>
    </row>
    <row r="27" spans="1:11" x14ac:dyDescent="0.3">
      <c r="A27" t="s">
        <v>67</v>
      </c>
      <c r="B27" s="1">
        <v>46156</v>
      </c>
      <c r="C27" s="1">
        <v>46161</v>
      </c>
      <c r="D27" t="s">
        <v>12</v>
      </c>
      <c r="E27" t="s">
        <v>13</v>
      </c>
      <c r="F27" t="s">
        <v>49</v>
      </c>
      <c r="G27" t="s">
        <v>15</v>
      </c>
      <c r="H27">
        <v>3</v>
      </c>
      <c r="I27" s="6" t="s">
        <v>50</v>
      </c>
      <c r="J27" s="6" t="s">
        <v>51</v>
      </c>
      <c r="K27" t="s">
        <v>18</v>
      </c>
    </row>
    <row r="28" spans="1:11" x14ac:dyDescent="0.3">
      <c r="A28" t="s">
        <v>68</v>
      </c>
      <c r="B28" s="1">
        <v>46157</v>
      </c>
      <c r="C28" s="1">
        <v>46161</v>
      </c>
      <c r="D28" t="s">
        <v>12</v>
      </c>
      <c r="E28" t="s">
        <v>13</v>
      </c>
      <c r="F28" t="s">
        <v>26</v>
      </c>
      <c r="G28" t="s">
        <v>27</v>
      </c>
      <c r="H28">
        <v>2</v>
      </c>
      <c r="I28" s="6" t="s">
        <v>28</v>
      </c>
      <c r="J28" s="6" t="s">
        <v>29</v>
      </c>
      <c r="K28" t="s">
        <v>18</v>
      </c>
    </row>
    <row r="29" spans="1:11" x14ac:dyDescent="0.3">
      <c r="A29" t="s">
        <v>69</v>
      </c>
      <c r="B29" s="1">
        <v>46158</v>
      </c>
      <c r="D29" t="s">
        <v>20</v>
      </c>
      <c r="E29" t="s">
        <v>21</v>
      </c>
      <c r="F29" t="s">
        <v>49</v>
      </c>
      <c r="G29" t="s">
        <v>15</v>
      </c>
      <c r="H29">
        <v>4</v>
      </c>
      <c r="I29" s="6" t="s">
        <v>50</v>
      </c>
      <c r="J29" s="6" t="s">
        <v>51</v>
      </c>
      <c r="K29" t="s">
        <v>39</v>
      </c>
    </row>
    <row r="30" spans="1:11" x14ac:dyDescent="0.3">
      <c r="A30" t="s">
        <v>70</v>
      </c>
      <c r="B30" s="1">
        <v>46158</v>
      </c>
      <c r="C30" s="1">
        <v>46159</v>
      </c>
      <c r="D30" t="s">
        <v>20</v>
      </c>
      <c r="E30" t="s">
        <v>21</v>
      </c>
      <c r="F30" t="s">
        <v>33</v>
      </c>
      <c r="G30" t="s">
        <v>23</v>
      </c>
      <c r="H30">
        <v>5</v>
      </c>
      <c r="I30" s="6" t="s">
        <v>34</v>
      </c>
      <c r="J30" s="6" t="s">
        <v>28</v>
      </c>
      <c r="K30" t="s">
        <v>18</v>
      </c>
    </row>
    <row r="31" spans="1:11" x14ac:dyDescent="0.3">
      <c r="A31" t="s">
        <v>71</v>
      </c>
      <c r="B31" s="1">
        <v>46159</v>
      </c>
      <c r="C31" s="1">
        <v>46162</v>
      </c>
      <c r="D31" t="s">
        <v>12</v>
      </c>
      <c r="E31" t="s">
        <v>13</v>
      </c>
      <c r="F31" t="s">
        <v>53</v>
      </c>
      <c r="G31" t="s">
        <v>23</v>
      </c>
      <c r="H31">
        <v>4</v>
      </c>
      <c r="I31" s="6" t="s">
        <v>54</v>
      </c>
      <c r="J31" s="6" t="s">
        <v>55</v>
      </c>
      <c r="K31" t="s">
        <v>18</v>
      </c>
    </row>
    <row r="32" spans="1:11" x14ac:dyDescent="0.3">
      <c r="A32" t="s">
        <v>72</v>
      </c>
      <c r="B32" s="1">
        <v>46159</v>
      </c>
      <c r="C32" s="1">
        <v>46163</v>
      </c>
      <c r="D32" t="s">
        <v>12</v>
      </c>
      <c r="E32" t="s">
        <v>13</v>
      </c>
      <c r="F32" t="s">
        <v>33</v>
      </c>
      <c r="G32" t="s">
        <v>23</v>
      </c>
      <c r="H32">
        <v>6</v>
      </c>
      <c r="I32" s="6" t="s">
        <v>34</v>
      </c>
      <c r="J32" s="6" t="s">
        <v>28</v>
      </c>
      <c r="K32" t="s">
        <v>18</v>
      </c>
    </row>
    <row r="33" spans="1:11" x14ac:dyDescent="0.3">
      <c r="A33" t="s">
        <v>73</v>
      </c>
      <c r="B33" s="1">
        <v>46160</v>
      </c>
      <c r="C33" s="1">
        <v>46165</v>
      </c>
      <c r="D33" t="s">
        <v>12</v>
      </c>
      <c r="E33" t="s">
        <v>13</v>
      </c>
      <c r="F33" t="s">
        <v>45</v>
      </c>
      <c r="G33" t="s">
        <v>27</v>
      </c>
      <c r="H33">
        <v>13</v>
      </c>
      <c r="I33" s="6" t="s">
        <v>46</v>
      </c>
      <c r="J33" s="6" t="s">
        <v>47</v>
      </c>
      <c r="K33" t="s">
        <v>18</v>
      </c>
    </row>
    <row r="34" spans="1:11" x14ac:dyDescent="0.3">
      <c r="A34" t="s">
        <v>74</v>
      </c>
      <c r="B34" s="1">
        <v>46160</v>
      </c>
      <c r="C34" s="1">
        <v>46164</v>
      </c>
      <c r="D34" t="s">
        <v>12</v>
      </c>
      <c r="E34" t="s">
        <v>13</v>
      </c>
      <c r="F34" t="s">
        <v>26</v>
      </c>
      <c r="G34" t="s">
        <v>27</v>
      </c>
      <c r="H34">
        <v>2</v>
      </c>
      <c r="I34" s="6" t="s">
        <v>28</v>
      </c>
      <c r="J34" s="6" t="s">
        <v>29</v>
      </c>
      <c r="K34" t="s">
        <v>18</v>
      </c>
    </row>
    <row r="35" spans="1:11" x14ac:dyDescent="0.3">
      <c r="A35" t="s">
        <v>75</v>
      </c>
      <c r="B35" s="1">
        <v>46161</v>
      </c>
      <c r="D35" t="s">
        <v>12</v>
      </c>
      <c r="E35" t="s">
        <v>13</v>
      </c>
      <c r="F35" t="s">
        <v>49</v>
      </c>
      <c r="G35" t="s">
        <v>15</v>
      </c>
      <c r="H35">
        <v>5</v>
      </c>
      <c r="I35" s="6" t="s">
        <v>50</v>
      </c>
      <c r="J35" s="6" t="s">
        <v>51</v>
      </c>
      <c r="K35" t="s">
        <v>31</v>
      </c>
    </row>
    <row r="36" spans="1:11" x14ac:dyDescent="0.3">
      <c r="A36" t="s">
        <v>76</v>
      </c>
      <c r="B36" s="1">
        <v>46161</v>
      </c>
      <c r="C36" s="1">
        <v>46163</v>
      </c>
      <c r="D36" t="s">
        <v>20</v>
      </c>
      <c r="E36" t="s">
        <v>21</v>
      </c>
      <c r="F36" t="s">
        <v>77</v>
      </c>
      <c r="G36" t="s">
        <v>15</v>
      </c>
      <c r="H36">
        <v>8</v>
      </c>
      <c r="I36" s="6" t="s">
        <v>16</v>
      </c>
      <c r="J36" s="6" t="s">
        <v>17</v>
      </c>
      <c r="K36" t="s">
        <v>18</v>
      </c>
    </row>
    <row r="37" spans="1:11" x14ac:dyDescent="0.3">
      <c r="A37" t="s">
        <v>78</v>
      </c>
      <c r="B37" s="1">
        <v>46162</v>
      </c>
      <c r="C37" s="1">
        <v>46166</v>
      </c>
      <c r="D37" t="s">
        <v>12</v>
      </c>
      <c r="E37" t="s">
        <v>13</v>
      </c>
      <c r="F37" t="s">
        <v>45</v>
      </c>
      <c r="G37" t="s">
        <v>27</v>
      </c>
      <c r="H37">
        <v>13</v>
      </c>
      <c r="I37" s="6" t="s">
        <v>46</v>
      </c>
      <c r="J37" s="6" t="s">
        <v>47</v>
      </c>
      <c r="K37" t="s">
        <v>18</v>
      </c>
    </row>
    <row r="38" spans="1:11" x14ac:dyDescent="0.3">
      <c r="A38" t="s">
        <v>79</v>
      </c>
      <c r="B38" s="1">
        <v>46163</v>
      </c>
      <c r="C38" s="1">
        <v>46165</v>
      </c>
      <c r="D38" t="s">
        <v>12</v>
      </c>
      <c r="E38" t="s">
        <v>13</v>
      </c>
      <c r="F38" t="s">
        <v>26</v>
      </c>
      <c r="G38" t="s">
        <v>27</v>
      </c>
      <c r="H38">
        <v>7</v>
      </c>
      <c r="I38" s="6" t="s">
        <v>28</v>
      </c>
      <c r="J38" s="6" t="s">
        <v>29</v>
      </c>
      <c r="K38" t="s">
        <v>18</v>
      </c>
    </row>
    <row r="39" spans="1:11" x14ac:dyDescent="0.3">
      <c r="A39" t="s">
        <v>80</v>
      </c>
      <c r="B39" s="1">
        <v>46163</v>
      </c>
      <c r="C39" s="1">
        <v>46165</v>
      </c>
      <c r="D39" t="s">
        <v>12</v>
      </c>
      <c r="E39" t="s">
        <v>13</v>
      </c>
      <c r="F39" t="s">
        <v>45</v>
      </c>
      <c r="G39" t="s">
        <v>27</v>
      </c>
      <c r="H39">
        <v>8</v>
      </c>
      <c r="I39" s="6" t="s">
        <v>46</v>
      </c>
      <c r="J39" s="6" t="s">
        <v>47</v>
      </c>
      <c r="K39" t="s">
        <v>18</v>
      </c>
    </row>
    <row r="40" spans="1:11" x14ac:dyDescent="0.3">
      <c r="A40" t="s">
        <v>81</v>
      </c>
      <c r="B40" s="1">
        <v>46164</v>
      </c>
      <c r="C40" s="1">
        <v>46167</v>
      </c>
      <c r="D40" t="s">
        <v>12</v>
      </c>
      <c r="E40" t="s">
        <v>13</v>
      </c>
      <c r="F40" t="s">
        <v>33</v>
      </c>
      <c r="G40" t="s">
        <v>23</v>
      </c>
      <c r="H40">
        <v>2</v>
      </c>
      <c r="I40" s="6" t="s">
        <v>34</v>
      </c>
      <c r="J40" s="6" t="s">
        <v>28</v>
      </c>
      <c r="K40" t="s">
        <v>18</v>
      </c>
    </row>
    <row r="41" spans="1:11" x14ac:dyDescent="0.3">
      <c r="A41" t="s">
        <v>82</v>
      </c>
      <c r="B41" s="1">
        <v>46164</v>
      </c>
      <c r="C41" s="1">
        <v>46165</v>
      </c>
      <c r="D41" t="s">
        <v>20</v>
      </c>
      <c r="E41" t="s">
        <v>21</v>
      </c>
      <c r="F41" t="s">
        <v>22</v>
      </c>
      <c r="G41" t="s">
        <v>23</v>
      </c>
      <c r="H41">
        <v>3</v>
      </c>
      <c r="I41" s="6" t="s">
        <v>24</v>
      </c>
      <c r="J41" s="6" t="s">
        <v>16</v>
      </c>
      <c r="K41" t="s">
        <v>18</v>
      </c>
    </row>
    <row r="42" spans="1:11" x14ac:dyDescent="0.3">
      <c r="A42" t="s">
        <v>83</v>
      </c>
      <c r="B42" s="1">
        <v>46165</v>
      </c>
      <c r="C42" s="1">
        <v>46166</v>
      </c>
      <c r="D42" t="s">
        <v>12</v>
      </c>
      <c r="E42" t="s">
        <v>13</v>
      </c>
      <c r="F42" t="s">
        <v>26</v>
      </c>
      <c r="G42" t="s">
        <v>27</v>
      </c>
      <c r="H42">
        <v>6</v>
      </c>
      <c r="I42" s="6" t="s">
        <v>28</v>
      </c>
      <c r="J42" s="6" t="s">
        <v>29</v>
      </c>
      <c r="K42" t="s">
        <v>18</v>
      </c>
    </row>
    <row r="43" spans="1:11" x14ac:dyDescent="0.3">
      <c r="A43" t="s">
        <v>84</v>
      </c>
      <c r="B43" s="1">
        <v>46165</v>
      </c>
      <c r="C43" s="1">
        <v>46166</v>
      </c>
      <c r="D43" t="s">
        <v>20</v>
      </c>
      <c r="E43" t="s">
        <v>21</v>
      </c>
      <c r="F43" t="s">
        <v>85</v>
      </c>
      <c r="G43" t="s">
        <v>23</v>
      </c>
      <c r="H43">
        <v>3</v>
      </c>
      <c r="I43" s="6" t="s">
        <v>24</v>
      </c>
      <c r="J43" s="6" t="s">
        <v>16</v>
      </c>
      <c r="K43" t="s">
        <v>18</v>
      </c>
    </row>
    <row r="44" spans="1:11" x14ac:dyDescent="0.3">
      <c r="A44" t="s">
        <v>86</v>
      </c>
      <c r="B44" s="1">
        <v>46166</v>
      </c>
      <c r="C44" s="1">
        <v>46170</v>
      </c>
      <c r="D44" t="s">
        <v>12</v>
      </c>
      <c r="E44" t="s">
        <v>13</v>
      </c>
      <c r="F44" t="s">
        <v>45</v>
      </c>
      <c r="G44" t="s">
        <v>27</v>
      </c>
      <c r="H44">
        <v>4</v>
      </c>
      <c r="I44" s="6" t="s">
        <v>46</v>
      </c>
      <c r="J44" s="6" t="s">
        <v>47</v>
      </c>
      <c r="K44" t="s">
        <v>18</v>
      </c>
    </row>
    <row r="45" spans="1:11" x14ac:dyDescent="0.3">
      <c r="A45" t="s">
        <v>87</v>
      </c>
      <c r="B45" s="1">
        <v>46166</v>
      </c>
      <c r="C45" s="1">
        <v>46166</v>
      </c>
      <c r="D45" t="s">
        <v>20</v>
      </c>
      <c r="E45" t="s">
        <v>21</v>
      </c>
      <c r="F45" t="s">
        <v>53</v>
      </c>
      <c r="G45" t="s">
        <v>23</v>
      </c>
      <c r="H45">
        <v>3</v>
      </c>
      <c r="I45" s="6" t="s">
        <v>54</v>
      </c>
      <c r="J45" s="6" t="s">
        <v>55</v>
      </c>
      <c r="K45" t="s">
        <v>18</v>
      </c>
    </row>
    <row r="46" spans="1:11" x14ac:dyDescent="0.3">
      <c r="A46" t="s">
        <v>88</v>
      </c>
      <c r="B46" s="1">
        <v>46167</v>
      </c>
      <c r="C46" s="1">
        <v>46172</v>
      </c>
      <c r="D46" t="s">
        <v>12</v>
      </c>
      <c r="E46" t="s">
        <v>13</v>
      </c>
      <c r="F46" t="s">
        <v>53</v>
      </c>
      <c r="G46" t="s">
        <v>23</v>
      </c>
      <c r="H46">
        <v>11</v>
      </c>
      <c r="I46" s="6" t="s">
        <v>54</v>
      </c>
      <c r="J46" s="6" t="s">
        <v>55</v>
      </c>
      <c r="K46" t="s">
        <v>18</v>
      </c>
    </row>
    <row r="47" spans="1:11" x14ac:dyDescent="0.3">
      <c r="A47" t="s">
        <v>89</v>
      </c>
      <c r="B47" s="1">
        <v>46168</v>
      </c>
      <c r="C47" s="1">
        <v>46173</v>
      </c>
      <c r="D47" t="s">
        <v>20</v>
      </c>
      <c r="E47" t="s">
        <v>21</v>
      </c>
      <c r="F47" t="s">
        <v>45</v>
      </c>
      <c r="G47" t="s">
        <v>27</v>
      </c>
      <c r="H47">
        <v>11</v>
      </c>
      <c r="I47" s="6" t="s">
        <v>46</v>
      </c>
      <c r="J47" s="6" t="s">
        <v>47</v>
      </c>
      <c r="K47" t="s">
        <v>18</v>
      </c>
    </row>
    <row r="48" spans="1:11" x14ac:dyDescent="0.3">
      <c r="A48" t="s">
        <v>90</v>
      </c>
      <c r="B48" s="1">
        <v>46168</v>
      </c>
      <c r="C48" s="1">
        <v>46172</v>
      </c>
      <c r="D48" t="s">
        <v>12</v>
      </c>
      <c r="E48" t="s">
        <v>13</v>
      </c>
      <c r="F48" t="s">
        <v>45</v>
      </c>
      <c r="G48" t="s">
        <v>27</v>
      </c>
      <c r="H48">
        <v>12</v>
      </c>
      <c r="I48" s="6" t="s">
        <v>46</v>
      </c>
      <c r="J48" s="6" t="s">
        <v>47</v>
      </c>
      <c r="K48" t="s">
        <v>18</v>
      </c>
    </row>
    <row r="49" spans="1:11" x14ac:dyDescent="0.3">
      <c r="A49" t="s">
        <v>91</v>
      </c>
      <c r="B49" s="1">
        <v>46169</v>
      </c>
      <c r="C49" s="1">
        <v>46173</v>
      </c>
      <c r="D49" t="s">
        <v>12</v>
      </c>
      <c r="E49" t="s">
        <v>13</v>
      </c>
      <c r="F49" t="s">
        <v>26</v>
      </c>
      <c r="G49" t="s">
        <v>27</v>
      </c>
      <c r="H49">
        <v>15</v>
      </c>
      <c r="I49" s="6" t="s">
        <v>28</v>
      </c>
      <c r="J49" s="6" t="s">
        <v>29</v>
      </c>
      <c r="K49" t="s">
        <v>18</v>
      </c>
    </row>
    <row r="50" spans="1:11" x14ac:dyDescent="0.3">
      <c r="A50" t="s">
        <v>92</v>
      </c>
      <c r="B50" s="1">
        <v>46169</v>
      </c>
      <c r="D50" t="s">
        <v>12</v>
      </c>
      <c r="E50" t="s">
        <v>13</v>
      </c>
      <c r="F50" t="s">
        <v>14</v>
      </c>
      <c r="G50" t="s">
        <v>15</v>
      </c>
      <c r="H50">
        <v>11</v>
      </c>
      <c r="I50" s="6" t="s">
        <v>16</v>
      </c>
      <c r="J50" s="6" t="s">
        <v>17</v>
      </c>
      <c r="K50" t="s">
        <v>31</v>
      </c>
    </row>
    <row r="51" spans="1:11" x14ac:dyDescent="0.3">
      <c r="A51" t="s">
        <v>93</v>
      </c>
      <c r="B51" s="1">
        <v>46170</v>
      </c>
      <c r="C51" s="1">
        <v>46174</v>
      </c>
      <c r="D51" t="s">
        <v>20</v>
      </c>
      <c r="E51" t="s">
        <v>21</v>
      </c>
      <c r="F51" t="s">
        <v>49</v>
      </c>
      <c r="G51" t="s">
        <v>15</v>
      </c>
      <c r="H51">
        <v>13</v>
      </c>
      <c r="I51" s="6" t="s">
        <v>50</v>
      </c>
      <c r="J51" s="6" t="s">
        <v>51</v>
      </c>
      <c r="K5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B887-D76F-408D-8920-DEEEA0DB4201}">
  <dimension ref="B1:E14"/>
  <sheetViews>
    <sheetView zoomScale="76" zoomScaleNormal="76" workbookViewId="0">
      <selection activeCell="N7" sqref="N7"/>
    </sheetView>
  </sheetViews>
  <sheetFormatPr defaultRowHeight="14.4" x14ac:dyDescent="0.3"/>
  <cols>
    <col min="1" max="1" width="2.77734375" customWidth="1"/>
    <col min="2" max="2" width="22.44140625" style="2" customWidth="1"/>
    <col min="3" max="3" width="62.33203125" style="2" customWidth="1"/>
    <col min="4" max="4" width="25.44140625" style="5" customWidth="1"/>
    <col min="5" max="5" width="59.88671875" style="5" customWidth="1"/>
  </cols>
  <sheetData>
    <row r="1" spans="2:5" ht="33.6" x14ac:dyDescent="0.65">
      <c r="B1" s="53" t="s">
        <v>178</v>
      </c>
      <c r="C1" s="53"/>
      <c r="D1" s="53"/>
      <c r="E1" s="53"/>
    </row>
    <row r="2" spans="2:5" ht="6" customHeight="1" x14ac:dyDescent="0.3">
      <c r="B2" s="52"/>
      <c r="C2" s="52"/>
      <c r="D2" s="52"/>
      <c r="E2" s="52"/>
    </row>
    <row r="3" spans="2:5" ht="29.4" customHeight="1" x14ac:dyDescent="0.3">
      <c r="B3" s="28" t="s">
        <v>128</v>
      </c>
      <c r="C3" s="29" t="s">
        <v>129</v>
      </c>
      <c r="D3" s="29" t="s">
        <v>130</v>
      </c>
      <c r="E3" s="30" t="s">
        <v>131</v>
      </c>
    </row>
    <row r="4" spans="2:5" ht="22.2" customHeight="1" x14ac:dyDescent="0.3">
      <c r="B4" s="26" t="s">
        <v>111</v>
      </c>
      <c r="C4" s="9" t="s">
        <v>132</v>
      </c>
      <c r="D4" s="10" t="s">
        <v>133</v>
      </c>
      <c r="E4" s="11" t="s">
        <v>134</v>
      </c>
    </row>
    <row r="5" spans="2:5" ht="22.2" customHeight="1" x14ac:dyDescent="0.3">
      <c r="B5" s="26" t="s">
        <v>112</v>
      </c>
      <c r="C5" s="9" t="s">
        <v>135</v>
      </c>
      <c r="D5" s="10" t="s">
        <v>136</v>
      </c>
      <c r="E5" s="11" t="s">
        <v>137</v>
      </c>
    </row>
    <row r="6" spans="2:5" ht="22.2" customHeight="1" x14ac:dyDescent="0.3">
      <c r="B6" s="26" t="s">
        <v>113</v>
      </c>
      <c r="C6" s="9" t="s">
        <v>138</v>
      </c>
      <c r="D6" s="10" t="s">
        <v>136</v>
      </c>
      <c r="E6" s="11" t="s">
        <v>139</v>
      </c>
    </row>
    <row r="7" spans="2:5" ht="22.2" customHeight="1" x14ac:dyDescent="0.3">
      <c r="B7" s="26" t="s">
        <v>114</v>
      </c>
      <c r="C7" s="9" t="s">
        <v>140</v>
      </c>
      <c r="D7" s="10" t="s">
        <v>133</v>
      </c>
      <c r="E7" s="11" t="s">
        <v>141</v>
      </c>
    </row>
    <row r="8" spans="2:5" ht="22.2" customHeight="1" x14ac:dyDescent="0.3">
      <c r="B8" s="26" t="s">
        <v>115</v>
      </c>
      <c r="C8" s="9" t="s">
        <v>142</v>
      </c>
      <c r="D8" s="10" t="s">
        <v>133</v>
      </c>
      <c r="E8" s="11" t="s">
        <v>143</v>
      </c>
    </row>
    <row r="9" spans="2:5" ht="22.2" customHeight="1" x14ac:dyDescent="0.3">
      <c r="B9" s="26" t="s">
        <v>116</v>
      </c>
      <c r="C9" s="9" t="s">
        <v>144</v>
      </c>
      <c r="D9" s="10" t="s">
        <v>133</v>
      </c>
      <c r="E9" s="11" t="s">
        <v>145</v>
      </c>
    </row>
    <row r="10" spans="2:5" ht="22.2" customHeight="1" x14ac:dyDescent="0.3">
      <c r="B10" s="26" t="s">
        <v>117</v>
      </c>
      <c r="C10" s="9" t="s">
        <v>146</v>
      </c>
      <c r="D10" s="10" t="s">
        <v>133</v>
      </c>
      <c r="E10" s="11" t="s">
        <v>147</v>
      </c>
    </row>
    <row r="11" spans="2:5" ht="22.2" customHeight="1" x14ac:dyDescent="0.3">
      <c r="B11" s="26" t="s">
        <v>118</v>
      </c>
      <c r="C11" s="9" t="s">
        <v>148</v>
      </c>
      <c r="D11" s="10" t="s">
        <v>149</v>
      </c>
      <c r="E11" s="11" t="s">
        <v>150</v>
      </c>
    </row>
    <row r="12" spans="2:5" ht="22.2" customHeight="1" x14ac:dyDescent="0.3">
      <c r="B12" s="26" t="s">
        <v>119</v>
      </c>
      <c r="C12" s="9" t="s">
        <v>151</v>
      </c>
      <c r="D12" s="10" t="s">
        <v>152</v>
      </c>
      <c r="E12" s="11" t="s">
        <v>153</v>
      </c>
    </row>
    <row r="13" spans="2:5" ht="22.2" customHeight="1" x14ac:dyDescent="0.3">
      <c r="B13" s="26" t="s">
        <v>120</v>
      </c>
      <c r="C13" s="9" t="s">
        <v>154</v>
      </c>
      <c r="D13" s="10" t="s">
        <v>152</v>
      </c>
      <c r="E13" s="11" t="s">
        <v>155</v>
      </c>
    </row>
    <row r="14" spans="2:5" ht="22.2" customHeight="1" x14ac:dyDescent="0.3">
      <c r="B14" s="27" t="s">
        <v>121</v>
      </c>
      <c r="C14" s="12" t="s">
        <v>156</v>
      </c>
      <c r="D14" s="13" t="s">
        <v>133</v>
      </c>
      <c r="E14" s="14" t="s">
        <v>157</v>
      </c>
    </row>
  </sheetData>
  <mergeCells count="2">
    <mergeCell ref="B2:E2"/>
    <mergeCell ref="B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659E-6628-4293-BC97-FA43CD868D3D}">
  <dimension ref="B1:L53"/>
  <sheetViews>
    <sheetView zoomScale="58" zoomScaleNormal="58" workbookViewId="0">
      <selection activeCell="D52" sqref="D52"/>
    </sheetView>
  </sheetViews>
  <sheetFormatPr defaultRowHeight="14.4" x14ac:dyDescent="0.3"/>
  <cols>
    <col min="1" max="1" width="3.21875" customWidth="1"/>
    <col min="2" max="2" width="24.33203125" customWidth="1"/>
    <col min="3" max="3" width="24.77734375" style="5" customWidth="1"/>
    <col min="4" max="4" width="30.77734375" style="5" customWidth="1"/>
    <col min="5" max="5" width="33.5546875" style="5" customWidth="1"/>
    <col min="6" max="6" width="42.109375" style="5" customWidth="1"/>
    <col min="7" max="7" width="37.6640625" style="5" customWidth="1"/>
    <col min="8" max="8" width="21.33203125" style="5" customWidth="1"/>
    <col min="9" max="9" width="18.33203125" style="3" customWidth="1"/>
    <col min="10" max="10" width="28.77734375" style="7" customWidth="1"/>
    <col min="11" max="11" width="23.44140625" style="7" customWidth="1"/>
    <col min="12" max="12" width="32.6640625" style="5" customWidth="1"/>
  </cols>
  <sheetData>
    <row r="1" spans="2:12" ht="47.4" x14ac:dyDescent="0.9">
      <c r="B1" s="51" t="s">
        <v>173</v>
      </c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2:12" s="20" customFormat="1" x14ac:dyDescent="0.3"/>
    <row r="3" spans="2:12" s="4" customFormat="1" ht="39" customHeight="1" x14ac:dyDescent="0.3">
      <c r="B3" s="21" t="s">
        <v>111</v>
      </c>
      <c r="C3" s="22" t="s">
        <v>112</v>
      </c>
      <c r="D3" s="22" t="s">
        <v>113</v>
      </c>
      <c r="E3" s="22" t="s">
        <v>114</v>
      </c>
      <c r="F3" s="22" t="s">
        <v>115</v>
      </c>
      <c r="G3" s="22" t="s">
        <v>116</v>
      </c>
      <c r="H3" s="22" t="s">
        <v>117</v>
      </c>
      <c r="I3" s="23" t="s">
        <v>118</v>
      </c>
      <c r="J3" s="24" t="s">
        <v>119</v>
      </c>
      <c r="K3" s="24" t="s">
        <v>120</v>
      </c>
      <c r="L3" s="22" t="s">
        <v>121</v>
      </c>
    </row>
    <row r="4" spans="2:12" ht="24" customHeight="1" x14ac:dyDescent="0.3">
      <c r="B4" s="15" t="s">
        <v>11</v>
      </c>
      <c r="C4" s="16">
        <v>46143</v>
      </c>
      <c r="D4" s="16">
        <v>46145</v>
      </c>
      <c r="E4" s="17" t="s">
        <v>94</v>
      </c>
      <c r="F4" s="17" t="s">
        <v>95</v>
      </c>
      <c r="G4" s="17" t="s">
        <v>96</v>
      </c>
      <c r="H4" s="17" t="s">
        <v>97</v>
      </c>
      <c r="I4" s="18">
        <v>5</v>
      </c>
      <c r="J4" s="19">
        <v>3.5</v>
      </c>
      <c r="K4" s="19">
        <v>7</v>
      </c>
      <c r="L4" s="17" t="s">
        <v>98</v>
      </c>
    </row>
    <row r="5" spans="2:12" ht="24" customHeight="1" x14ac:dyDescent="0.3">
      <c r="B5" s="15" t="s">
        <v>19</v>
      </c>
      <c r="C5" s="16">
        <v>46143</v>
      </c>
      <c r="D5" s="16">
        <v>46144</v>
      </c>
      <c r="E5" s="17" t="s">
        <v>99</v>
      </c>
      <c r="F5" s="17" t="s">
        <v>100</v>
      </c>
      <c r="G5" s="17" t="s">
        <v>101</v>
      </c>
      <c r="H5" s="17" t="s">
        <v>102</v>
      </c>
      <c r="I5" s="18">
        <v>2</v>
      </c>
      <c r="J5" s="19">
        <v>1.2</v>
      </c>
      <c r="K5" s="19">
        <v>3.5</v>
      </c>
      <c r="L5" s="17" t="s">
        <v>98</v>
      </c>
    </row>
    <row r="6" spans="2:12" ht="24" customHeight="1" x14ac:dyDescent="0.3">
      <c r="B6" s="15" t="s">
        <v>25</v>
      </c>
      <c r="C6" s="16">
        <v>46144</v>
      </c>
      <c r="D6" s="16">
        <v>46148</v>
      </c>
      <c r="E6" s="17" t="s">
        <v>94</v>
      </c>
      <c r="F6" s="17" t="s">
        <v>95</v>
      </c>
      <c r="G6" s="17" t="s">
        <v>103</v>
      </c>
      <c r="H6" s="17" t="s">
        <v>104</v>
      </c>
      <c r="I6" s="18">
        <v>1</v>
      </c>
      <c r="J6" s="19">
        <v>5</v>
      </c>
      <c r="K6" s="19">
        <v>12</v>
      </c>
      <c r="L6" s="17" t="s">
        <v>98</v>
      </c>
    </row>
    <row r="7" spans="2:12" ht="24" customHeight="1" x14ac:dyDescent="0.3">
      <c r="B7" s="15" t="s">
        <v>30</v>
      </c>
      <c r="C7" s="16">
        <v>46144</v>
      </c>
      <c r="D7" s="16"/>
      <c r="E7" s="17" t="s">
        <v>99</v>
      </c>
      <c r="F7" s="17" t="s">
        <v>95</v>
      </c>
      <c r="G7" s="17" t="s">
        <v>96</v>
      </c>
      <c r="H7" s="17" t="s">
        <v>97</v>
      </c>
      <c r="I7" s="18">
        <v>10</v>
      </c>
      <c r="J7" s="19">
        <v>3.5</v>
      </c>
      <c r="K7" s="19">
        <v>7</v>
      </c>
      <c r="L7" s="17" t="s">
        <v>105</v>
      </c>
    </row>
    <row r="8" spans="2:12" ht="24" customHeight="1" x14ac:dyDescent="0.3">
      <c r="B8" s="15" t="s">
        <v>32</v>
      </c>
      <c r="C8" s="16">
        <v>46145</v>
      </c>
      <c r="D8" s="16">
        <v>46146</v>
      </c>
      <c r="E8" s="17" t="s">
        <v>99</v>
      </c>
      <c r="F8" s="17" t="s">
        <v>100</v>
      </c>
      <c r="G8" s="17" t="s">
        <v>106</v>
      </c>
      <c r="H8" s="17" t="s">
        <v>102</v>
      </c>
      <c r="I8" s="18">
        <v>4</v>
      </c>
      <c r="J8" s="19">
        <v>2</v>
      </c>
      <c r="K8" s="19">
        <v>5</v>
      </c>
      <c r="L8" s="17" t="s">
        <v>98</v>
      </c>
    </row>
    <row r="9" spans="2:12" ht="24" customHeight="1" x14ac:dyDescent="0.3">
      <c r="B9" s="15" t="s">
        <v>35</v>
      </c>
      <c r="C9" s="16">
        <v>46146</v>
      </c>
      <c r="D9" s="16">
        <v>46146</v>
      </c>
      <c r="E9" s="17" t="s">
        <v>99</v>
      </c>
      <c r="F9" s="17" t="s">
        <v>100</v>
      </c>
      <c r="G9" s="17" t="s">
        <v>103</v>
      </c>
      <c r="H9" s="17" t="s">
        <v>104</v>
      </c>
      <c r="I9" s="18">
        <v>2</v>
      </c>
      <c r="J9" s="19">
        <v>5</v>
      </c>
      <c r="K9" s="19">
        <v>12</v>
      </c>
      <c r="L9" s="17" t="s">
        <v>98</v>
      </c>
    </row>
    <row r="10" spans="2:12" ht="24" customHeight="1" x14ac:dyDescent="0.3">
      <c r="B10" s="15" t="s">
        <v>37</v>
      </c>
      <c r="C10" s="16">
        <v>46147</v>
      </c>
      <c r="D10" s="16">
        <v>46151</v>
      </c>
      <c r="E10" s="17" t="s">
        <v>94</v>
      </c>
      <c r="F10" s="17" t="s">
        <v>95</v>
      </c>
      <c r="G10" s="17" t="s">
        <v>101</v>
      </c>
      <c r="H10" s="17" t="s">
        <v>102</v>
      </c>
      <c r="I10" s="18">
        <v>3</v>
      </c>
      <c r="J10" s="19">
        <v>1.2</v>
      </c>
      <c r="K10" s="19">
        <v>3.5</v>
      </c>
      <c r="L10" s="17" t="s">
        <v>98</v>
      </c>
    </row>
    <row r="11" spans="2:12" ht="24" customHeight="1" x14ac:dyDescent="0.3">
      <c r="B11" s="15" t="s">
        <v>38</v>
      </c>
      <c r="C11" s="16">
        <v>46147</v>
      </c>
      <c r="D11" s="16"/>
      <c r="E11" s="17" t="s">
        <v>99</v>
      </c>
      <c r="F11" s="17" t="s">
        <v>100</v>
      </c>
      <c r="G11" s="17" t="s">
        <v>106</v>
      </c>
      <c r="H11" s="17" t="s">
        <v>102</v>
      </c>
      <c r="I11" s="18">
        <v>8</v>
      </c>
      <c r="J11" s="19">
        <v>2</v>
      </c>
      <c r="K11" s="19">
        <v>5</v>
      </c>
      <c r="L11" s="17" t="s">
        <v>107</v>
      </c>
    </row>
    <row r="12" spans="2:12" ht="24" customHeight="1" x14ac:dyDescent="0.3">
      <c r="B12" s="15" t="s">
        <v>40</v>
      </c>
      <c r="C12" s="16">
        <v>46148</v>
      </c>
      <c r="D12" s="16">
        <v>46149</v>
      </c>
      <c r="E12" s="17" t="s">
        <v>94</v>
      </c>
      <c r="F12" s="17" t="s">
        <v>95</v>
      </c>
      <c r="G12" s="17" t="s">
        <v>96</v>
      </c>
      <c r="H12" s="17" t="s">
        <v>97</v>
      </c>
      <c r="I12" s="18">
        <v>6</v>
      </c>
      <c r="J12" s="19">
        <v>3.5</v>
      </c>
      <c r="K12" s="19">
        <v>7</v>
      </c>
      <c r="L12" s="17" t="s">
        <v>98</v>
      </c>
    </row>
    <row r="13" spans="2:12" ht="24" customHeight="1" x14ac:dyDescent="0.3">
      <c r="B13" s="15" t="s">
        <v>41</v>
      </c>
      <c r="C13" s="16">
        <v>46148</v>
      </c>
      <c r="D13" s="16">
        <v>46150</v>
      </c>
      <c r="E13" s="17" t="s">
        <v>99</v>
      </c>
      <c r="F13" s="17" t="s">
        <v>100</v>
      </c>
      <c r="G13" s="17" t="s">
        <v>103</v>
      </c>
      <c r="H13" s="17" t="s">
        <v>104</v>
      </c>
      <c r="I13" s="18">
        <v>1</v>
      </c>
      <c r="J13" s="19">
        <v>5</v>
      </c>
      <c r="K13" s="19">
        <v>12</v>
      </c>
      <c r="L13" s="17" t="s">
        <v>98</v>
      </c>
    </row>
    <row r="14" spans="2:12" ht="24" customHeight="1" x14ac:dyDescent="0.3">
      <c r="B14" s="15" t="s">
        <v>42</v>
      </c>
      <c r="C14" s="16">
        <v>46149</v>
      </c>
      <c r="D14" s="16">
        <v>46154</v>
      </c>
      <c r="E14" s="17" t="s">
        <v>94</v>
      </c>
      <c r="F14" s="17" t="s">
        <v>95</v>
      </c>
      <c r="G14" s="17" t="s">
        <v>106</v>
      </c>
      <c r="H14" s="17" t="s">
        <v>102</v>
      </c>
      <c r="I14" s="18">
        <v>5</v>
      </c>
      <c r="J14" s="19">
        <v>2</v>
      </c>
      <c r="K14" s="19">
        <v>5</v>
      </c>
      <c r="L14" s="17" t="s">
        <v>98</v>
      </c>
    </row>
    <row r="15" spans="2:12" ht="24" customHeight="1" x14ac:dyDescent="0.3">
      <c r="B15" s="15" t="s">
        <v>43</v>
      </c>
      <c r="C15" s="16">
        <v>46150</v>
      </c>
      <c r="D15" s="16"/>
      <c r="E15" s="17" t="s">
        <v>94</v>
      </c>
      <c r="F15" s="17" t="s">
        <v>95</v>
      </c>
      <c r="G15" s="17" t="s">
        <v>96</v>
      </c>
      <c r="H15" s="17" t="s">
        <v>97</v>
      </c>
      <c r="I15" s="18">
        <v>12</v>
      </c>
      <c r="J15" s="19">
        <v>3.5</v>
      </c>
      <c r="K15" s="19">
        <v>7</v>
      </c>
      <c r="L15" s="17" t="s">
        <v>105</v>
      </c>
    </row>
    <row r="16" spans="2:12" ht="24" customHeight="1" x14ac:dyDescent="0.3">
      <c r="B16" s="15" t="s">
        <v>44</v>
      </c>
      <c r="C16" s="16">
        <v>46149</v>
      </c>
      <c r="D16" s="16">
        <v>46151</v>
      </c>
      <c r="E16" s="17" t="s">
        <v>94</v>
      </c>
      <c r="F16" s="17" t="s">
        <v>95</v>
      </c>
      <c r="G16" s="17" t="s">
        <v>108</v>
      </c>
      <c r="H16" s="17" t="s">
        <v>104</v>
      </c>
      <c r="I16" s="18">
        <v>1</v>
      </c>
      <c r="J16" s="19">
        <v>5.5</v>
      </c>
      <c r="K16" s="19">
        <v>14</v>
      </c>
      <c r="L16" s="17" t="s">
        <v>98</v>
      </c>
    </row>
    <row r="17" spans="2:12" ht="24" customHeight="1" x14ac:dyDescent="0.3">
      <c r="B17" s="15" t="s">
        <v>48</v>
      </c>
      <c r="C17" s="16">
        <v>46150</v>
      </c>
      <c r="D17" s="16">
        <v>46152</v>
      </c>
      <c r="E17" s="17" t="s">
        <v>99</v>
      </c>
      <c r="F17" s="17" t="s">
        <v>100</v>
      </c>
      <c r="G17" s="17" t="s">
        <v>109</v>
      </c>
      <c r="H17" s="17" t="s">
        <v>97</v>
      </c>
      <c r="I17" s="18">
        <v>4</v>
      </c>
      <c r="J17" s="19">
        <v>4</v>
      </c>
      <c r="K17" s="19">
        <v>9.5</v>
      </c>
      <c r="L17" s="17" t="s">
        <v>98</v>
      </c>
    </row>
    <row r="18" spans="2:12" ht="24" customHeight="1" x14ac:dyDescent="0.3">
      <c r="B18" s="15" t="s">
        <v>52</v>
      </c>
      <c r="C18" s="16">
        <v>46150</v>
      </c>
      <c r="D18" s="16">
        <v>46153</v>
      </c>
      <c r="E18" s="17" t="s">
        <v>94</v>
      </c>
      <c r="F18" s="17" t="s">
        <v>95</v>
      </c>
      <c r="G18" s="17" t="s">
        <v>110</v>
      </c>
      <c r="H18" s="17" t="s">
        <v>102</v>
      </c>
      <c r="I18" s="18">
        <v>11</v>
      </c>
      <c r="J18" s="19">
        <v>1.8</v>
      </c>
      <c r="K18" s="19">
        <v>4.2</v>
      </c>
      <c r="L18" s="17" t="s">
        <v>98</v>
      </c>
    </row>
    <row r="19" spans="2:12" ht="24" customHeight="1" x14ac:dyDescent="0.3">
      <c r="B19" s="15" t="s">
        <v>56</v>
      </c>
      <c r="C19" s="16">
        <v>46151</v>
      </c>
      <c r="D19" s="16">
        <v>46154</v>
      </c>
      <c r="E19" s="17" t="s">
        <v>99</v>
      </c>
      <c r="F19" s="17" t="s">
        <v>100</v>
      </c>
      <c r="G19" s="17" t="s">
        <v>109</v>
      </c>
      <c r="H19" s="17" t="s">
        <v>97</v>
      </c>
      <c r="I19" s="18">
        <v>14</v>
      </c>
      <c r="J19" s="19">
        <v>4</v>
      </c>
      <c r="K19" s="19">
        <v>9.5</v>
      </c>
      <c r="L19" s="17" t="s">
        <v>98</v>
      </c>
    </row>
    <row r="20" spans="2:12" ht="24" customHeight="1" x14ac:dyDescent="0.3">
      <c r="B20" s="15" t="s">
        <v>57</v>
      </c>
      <c r="C20" s="16">
        <v>46151</v>
      </c>
      <c r="D20" s="16">
        <v>46156</v>
      </c>
      <c r="E20" s="17" t="s">
        <v>94</v>
      </c>
      <c r="F20" s="17" t="s">
        <v>95</v>
      </c>
      <c r="G20" s="17" t="s">
        <v>106</v>
      </c>
      <c r="H20" s="17" t="s">
        <v>102</v>
      </c>
      <c r="I20" s="18">
        <v>11</v>
      </c>
      <c r="J20" s="19">
        <v>2</v>
      </c>
      <c r="K20" s="19">
        <v>5</v>
      </c>
      <c r="L20" s="17" t="s">
        <v>98</v>
      </c>
    </row>
    <row r="21" spans="2:12" ht="24" customHeight="1" x14ac:dyDescent="0.3">
      <c r="B21" s="15" t="s">
        <v>58</v>
      </c>
      <c r="C21" s="16">
        <v>46152</v>
      </c>
      <c r="D21" s="16">
        <v>46155</v>
      </c>
      <c r="E21" s="17" t="s">
        <v>94</v>
      </c>
      <c r="F21" s="17" t="s">
        <v>95</v>
      </c>
      <c r="G21" s="17" t="s">
        <v>108</v>
      </c>
      <c r="H21" s="17" t="s">
        <v>104</v>
      </c>
      <c r="I21" s="18">
        <v>3</v>
      </c>
      <c r="J21" s="19">
        <v>5.5</v>
      </c>
      <c r="K21" s="19">
        <v>14</v>
      </c>
      <c r="L21" s="17" t="s">
        <v>98</v>
      </c>
    </row>
    <row r="22" spans="2:12" ht="24" customHeight="1" x14ac:dyDescent="0.3">
      <c r="B22" s="15" t="s">
        <v>59</v>
      </c>
      <c r="C22" s="16">
        <v>46153</v>
      </c>
      <c r="D22" s="16"/>
      <c r="E22" s="17" t="s">
        <v>94</v>
      </c>
      <c r="F22" s="17" t="s">
        <v>95</v>
      </c>
      <c r="G22" s="17" t="s">
        <v>96</v>
      </c>
      <c r="H22" s="17" t="s">
        <v>97</v>
      </c>
      <c r="I22" s="18">
        <v>15</v>
      </c>
      <c r="J22" s="19">
        <v>3.5</v>
      </c>
      <c r="K22" s="19">
        <v>7</v>
      </c>
      <c r="L22" s="17" t="s">
        <v>105</v>
      </c>
    </row>
    <row r="23" spans="2:12" ht="24" customHeight="1" x14ac:dyDescent="0.3">
      <c r="B23" s="15" t="s">
        <v>60</v>
      </c>
      <c r="C23" s="16">
        <v>46153</v>
      </c>
      <c r="D23" s="16">
        <v>46157</v>
      </c>
      <c r="E23" s="17" t="s">
        <v>99</v>
      </c>
      <c r="F23" s="17" t="s">
        <v>100</v>
      </c>
      <c r="G23" s="17" t="s">
        <v>106</v>
      </c>
      <c r="H23" s="17" t="s">
        <v>102</v>
      </c>
      <c r="I23" s="18">
        <v>13</v>
      </c>
      <c r="J23" s="19">
        <v>2</v>
      </c>
      <c r="K23" s="19">
        <v>5</v>
      </c>
      <c r="L23" s="17" t="s">
        <v>98</v>
      </c>
    </row>
    <row r="24" spans="2:12" ht="24" customHeight="1" x14ac:dyDescent="0.3">
      <c r="B24" s="15" t="s">
        <v>62</v>
      </c>
      <c r="C24" s="16">
        <v>46154</v>
      </c>
      <c r="D24" s="16">
        <v>46156</v>
      </c>
      <c r="E24" s="17" t="s">
        <v>94</v>
      </c>
      <c r="F24" s="17" t="s">
        <v>95</v>
      </c>
      <c r="G24" s="17" t="s">
        <v>106</v>
      </c>
      <c r="H24" s="17" t="s">
        <v>102</v>
      </c>
      <c r="I24" s="18">
        <v>6</v>
      </c>
      <c r="J24" s="19">
        <v>2</v>
      </c>
      <c r="K24" s="19">
        <v>5</v>
      </c>
      <c r="L24" s="17" t="s">
        <v>98</v>
      </c>
    </row>
    <row r="25" spans="2:12" ht="24" customHeight="1" x14ac:dyDescent="0.3">
      <c r="B25" s="15" t="s">
        <v>63</v>
      </c>
      <c r="C25" s="16">
        <v>46154</v>
      </c>
      <c r="D25" s="16">
        <v>46156</v>
      </c>
      <c r="E25" s="17" t="s">
        <v>99</v>
      </c>
      <c r="F25" s="17" t="s">
        <v>100</v>
      </c>
      <c r="G25" s="17" t="s">
        <v>109</v>
      </c>
      <c r="H25" s="17" t="s">
        <v>97</v>
      </c>
      <c r="I25" s="18">
        <v>13</v>
      </c>
      <c r="J25" s="19">
        <v>4</v>
      </c>
      <c r="K25" s="19">
        <v>9.5</v>
      </c>
      <c r="L25" s="17" t="s">
        <v>98</v>
      </c>
    </row>
    <row r="26" spans="2:12" ht="24" customHeight="1" x14ac:dyDescent="0.3">
      <c r="B26" s="15" t="s">
        <v>64</v>
      </c>
      <c r="C26" s="16">
        <v>46155</v>
      </c>
      <c r="D26" s="16">
        <v>46158</v>
      </c>
      <c r="E26" s="17" t="s">
        <v>94</v>
      </c>
      <c r="F26" s="17" t="s">
        <v>95</v>
      </c>
      <c r="G26" s="17" t="s">
        <v>109</v>
      </c>
      <c r="H26" s="17" t="s">
        <v>97</v>
      </c>
      <c r="I26" s="18">
        <v>2</v>
      </c>
      <c r="J26" s="19">
        <v>4</v>
      </c>
      <c r="K26" s="19">
        <v>9.5</v>
      </c>
      <c r="L26" s="17" t="s">
        <v>98</v>
      </c>
    </row>
    <row r="27" spans="2:12" ht="24" customHeight="1" x14ac:dyDescent="0.3">
      <c r="B27" s="15" t="s">
        <v>65</v>
      </c>
      <c r="C27" s="16">
        <v>46155</v>
      </c>
      <c r="D27" s="16"/>
      <c r="E27" s="17" t="s">
        <v>99</v>
      </c>
      <c r="F27" s="17" t="s">
        <v>100</v>
      </c>
      <c r="G27" s="17" t="s">
        <v>108</v>
      </c>
      <c r="H27" s="17" t="s">
        <v>104</v>
      </c>
      <c r="I27" s="18">
        <v>2</v>
      </c>
      <c r="J27" s="19">
        <v>5.5</v>
      </c>
      <c r="K27" s="19">
        <v>14</v>
      </c>
      <c r="L27" s="17" t="s">
        <v>107</v>
      </c>
    </row>
    <row r="28" spans="2:12" ht="24" customHeight="1" x14ac:dyDescent="0.3">
      <c r="B28" s="15" t="s">
        <v>66</v>
      </c>
      <c r="C28" s="16">
        <v>46156</v>
      </c>
      <c r="D28" s="16">
        <v>46161</v>
      </c>
      <c r="E28" s="17" t="s">
        <v>94</v>
      </c>
      <c r="F28" s="17" t="s">
        <v>95</v>
      </c>
      <c r="G28" s="17" t="s">
        <v>108</v>
      </c>
      <c r="H28" s="17" t="s">
        <v>104</v>
      </c>
      <c r="I28" s="18">
        <v>7</v>
      </c>
      <c r="J28" s="19">
        <v>5.5</v>
      </c>
      <c r="K28" s="19">
        <v>14</v>
      </c>
      <c r="L28" s="17" t="s">
        <v>98</v>
      </c>
    </row>
    <row r="29" spans="2:12" ht="24" customHeight="1" x14ac:dyDescent="0.3">
      <c r="B29" s="15" t="s">
        <v>67</v>
      </c>
      <c r="C29" s="16">
        <v>46156</v>
      </c>
      <c r="D29" s="16">
        <v>46161</v>
      </c>
      <c r="E29" s="17" t="s">
        <v>94</v>
      </c>
      <c r="F29" s="17" t="s">
        <v>95</v>
      </c>
      <c r="G29" s="17" t="s">
        <v>109</v>
      </c>
      <c r="H29" s="17" t="s">
        <v>97</v>
      </c>
      <c r="I29" s="18">
        <v>3</v>
      </c>
      <c r="J29" s="19">
        <v>4</v>
      </c>
      <c r="K29" s="19">
        <v>9.5</v>
      </c>
      <c r="L29" s="17" t="s">
        <v>98</v>
      </c>
    </row>
    <row r="30" spans="2:12" ht="24" customHeight="1" x14ac:dyDescent="0.3">
      <c r="B30" s="15" t="s">
        <v>68</v>
      </c>
      <c r="C30" s="16">
        <v>46157</v>
      </c>
      <c r="D30" s="16">
        <v>46161</v>
      </c>
      <c r="E30" s="17" t="s">
        <v>94</v>
      </c>
      <c r="F30" s="17" t="s">
        <v>95</v>
      </c>
      <c r="G30" s="17" t="s">
        <v>103</v>
      </c>
      <c r="H30" s="17" t="s">
        <v>104</v>
      </c>
      <c r="I30" s="18">
        <v>2</v>
      </c>
      <c r="J30" s="19">
        <v>5</v>
      </c>
      <c r="K30" s="19">
        <v>12</v>
      </c>
      <c r="L30" s="17" t="s">
        <v>98</v>
      </c>
    </row>
    <row r="31" spans="2:12" ht="24" customHeight="1" x14ac:dyDescent="0.3">
      <c r="B31" s="15" t="s">
        <v>69</v>
      </c>
      <c r="C31" s="16">
        <v>46158</v>
      </c>
      <c r="D31" s="16"/>
      <c r="E31" s="17" t="s">
        <v>99</v>
      </c>
      <c r="F31" s="17" t="s">
        <v>100</v>
      </c>
      <c r="G31" s="17" t="s">
        <v>109</v>
      </c>
      <c r="H31" s="17" t="s">
        <v>97</v>
      </c>
      <c r="I31" s="18">
        <v>4</v>
      </c>
      <c r="J31" s="19">
        <v>4</v>
      </c>
      <c r="K31" s="19">
        <v>9.5</v>
      </c>
      <c r="L31" s="17" t="s">
        <v>107</v>
      </c>
    </row>
    <row r="32" spans="2:12" ht="24" customHeight="1" x14ac:dyDescent="0.3">
      <c r="B32" s="15" t="s">
        <v>70</v>
      </c>
      <c r="C32" s="16">
        <v>46158</v>
      </c>
      <c r="D32" s="16">
        <v>46159</v>
      </c>
      <c r="E32" s="17" t="s">
        <v>99</v>
      </c>
      <c r="F32" s="17" t="s">
        <v>100</v>
      </c>
      <c r="G32" s="17" t="s">
        <v>106</v>
      </c>
      <c r="H32" s="17" t="s">
        <v>102</v>
      </c>
      <c r="I32" s="18">
        <v>5</v>
      </c>
      <c r="J32" s="19">
        <v>2</v>
      </c>
      <c r="K32" s="19">
        <v>5</v>
      </c>
      <c r="L32" s="17" t="s">
        <v>98</v>
      </c>
    </row>
    <row r="33" spans="2:12" ht="24" customHeight="1" x14ac:dyDescent="0.3">
      <c r="B33" s="15" t="s">
        <v>71</v>
      </c>
      <c r="C33" s="16">
        <v>46159</v>
      </c>
      <c r="D33" s="16">
        <v>46162</v>
      </c>
      <c r="E33" s="17" t="s">
        <v>94</v>
      </c>
      <c r="F33" s="17" t="s">
        <v>95</v>
      </c>
      <c r="G33" s="17" t="s">
        <v>110</v>
      </c>
      <c r="H33" s="17" t="s">
        <v>102</v>
      </c>
      <c r="I33" s="18">
        <v>4</v>
      </c>
      <c r="J33" s="19">
        <v>1.8</v>
      </c>
      <c r="K33" s="19">
        <v>4.2</v>
      </c>
      <c r="L33" s="17" t="s">
        <v>98</v>
      </c>
    </row>
    <row r="34" spans="2:12" ht="24" customHeight="1" x14ac:dyDescent="0.3">
      <c r="B34" s="15" t="s">
        <v>72</v>
      </c>
      <c r="C34" s="16">
        <v>46159</v>
      </c>
      <c r="D34" s="16">
        <v>46163</v>
      </c>
      <c r="E34" s="17" t="s">
        <v>94</v>
      </c>
      <c r="F34" s="17" t="s">
        <v>95</v>
      </c>
      <c r="G34" s="17" t="s">
        <v>106</v>
      </c>
      <c r="H34" s="17" t="s">
        <v>102</v>
      </c>
      <c r="I34" s="18">
        <v>6</v>
      </c>
      <c r="J34" s="19">
        <v>2</v>
      </c>
      <c r="K34" s="19">
        <v>5</v>
      </c>
      <c r="L34" s="17" t="s">
        <v>98</v>
      </c>
    </row>
    <row r="35" spans="2:12" ht="24" customHeight="1" x14ac:dyDescent="0.3">
      <c r="B35" s="15" t="s">
        <v>73</v>
      </c>
      <c r="C35" s="16">
        <v>46160</v>
      </c>
      <c r="D35" s="16">
        <v>46165</v>
      </c>
      <c r="E35" s="17" t="s">
        <v>94</v>
      </c>
      <c r="F35" s="17" t="s">
        <v>95</v>
      </c>
      <c r="G35" s="17" t="s">
        <v>108</v>
      </c>
      <c r="H35" s="17" t="s">
        <v>104</v>
      </c>
      <c r="I35" s="18">
        <v>13</v>
      </c>
      <c r="J35" s="19">
        <v>5.5</v>
      </c>
      <c r="K35" s="19">
        <v>14</v>
      </c>
      <c r="L35" s="17" t="s">
        <v>98</v>
      </c>
    </row>
    <row r="36" spans="2:12" ht="24" customHeight="1" x14ac:dyDescent="0.3">
      <c r="B36" s="15" t="s">
        <v>74</v>
      </c>
      <c r="C36" s="16">
        <v>46160</v>
      </c>
      <c r="D36" s="16">
        <v>46164</v>
      </c>
      <c r="E36" s="17" t="s">
        <v>94</v>
      </c>
      <c r="F36" s="17" t="s">
        <v>95</v>
      </c>
      <c r="G36" s="17" t="s">
        <v>103</v>
      </c>
      <c r="H36" s="17" t="s">
        <v>104</v>
      </c>
      <c r="I36" s="18">
        <v>2</v>
      </c>
      <c r="J36" s="19">
        <v>5</v>
      </c>
      <c r="K36" s="19">
        <v>12</v>
      </c>
      <c r="L36" s="17" t="s">
        <v>98</v>
      </c>
    </row>
    <row r="37" spans="2:12" ht="24" customHeight="1" x14ac:dyDescent="0.3">
      <c r="B37" s="15" t="s">
        <v>75</v>
      </c>
      <c r="C37" s="16">
        <v>46161</v>
      </c>
      <c r="D37" s="16"/>
      <c r="E37" s="17" t="s">
        <v>94</v>
      </c>
      <c r="F37" s="17" t="s">
        <v>95</v>
      </c>
      <c r="G37" s="17" t="s">
        <v>109</v>
      </c>
      <c r="H37" s="17" t="s">
        <v>97</v>
      </c>
      <c r="I37" s="18">
        <v>5</v>
      </c>
      <c r="J37" s="19">
        <v>4</v>
      </c>
      <c r="K37" s="19">
        <v>9.5</v>
      </c>
      <c r="L37" s="17" t="s">
        <v>105</v>
      </c>
    </row>
    <row r="38" spans="2:12" ht="24" customHeight="1" x14ac:dyDescent="0.3">
      <c r="B38" s="15" t="s">
        <v>76</v>
      </c>
      <c r="C38" s="16">
        <v>46161</v>
      </c>
      <c r="D38" s="16">
        <v>46163</v>
      </c>
      <c r="E38" s="17" t="s">
        <v>99</v>
      </c>
      <c r="F38" s="17" t="s">
        <v>100</v>
      </c>
      <c r="G38" s="17" t="s">
        <v>96</v>
      </c>
      <c r="H38" s="17" t="s">
        <v>97</v>
      </c>
      <c r="I38" s="18">
        <v>8</v>
      </c>
      <c r="J38" s="19">
        <v>3.5</v>
      </c>
      <c r="K38" s="19">
        <v>7</v>
      </c>
      <c r="L38" s="17" t="s">
        <v>98</v>
      </c>
    </row>
    <row r="39" spans="2:12" ht="24" customHeight="1" x14ac:dyDescent="0.3">
      <c r="B39" s="15" t="s">
        <v>78</v>
      </c>
      <c r="C39" s="16">
        <v>46162</v>
      </c>
      <c r="D39" s="16">
        <v>46166</v>
      </c>
      <c r="E39" s="17" t="s">
        <v>94</v>
      </c>
      <c r="F39" s="17" t="s">
        <v>95</v>
      </c>
      <c r="G39" s="17" t="s">
        <v>108</v>
      </c>
      <c r="H39" s="17" t="s">
        <v>104</v>
      </c>
      <c r="I39" s="18">
        <v>13</v>
      </c>
      <c r="J39" s="19">
        <v>5.5</v>
      </c>
      <c r="K39" s="19">
        <v>14</v>
      </c>
      <c r="L39" s="17" t="s">
        <v>98</v>
      </c>
    </row>
    <row r="40" spans="2:12" ht="24" customHeight="1" x14ac:dyDescent="0.3">
      <c r="B40" s="15" t="s">
        <v>79</v>
      </c>
      <c r="C40" s="16">
        <v>46163</v>
      </c>
      <c r="D40" s="16">
        <v>46165</v>
      </c>
      <c r="E40" s="17" t="s">
        <v>94</v>
      </c>
      <c r="F40" s="17" t="s">
        <v>95</v>
      </c>
      <c r="G40" s="17" t="s">
        <v>103</v>
      </c>
      <c r="H40" s="17" t="s">
        <v>104</v>
      </c>
      <c r="I40" s="18">
        <v>7</v>
      </c>
      <c r="J40" s="19">
        <v>5</v>
      </c>
      <c r="K40" s="19">
        <v>12</v>
      </c>
      <c r="L40" s="17" t="s">
        <v>98</v>
      </c>
    </row>
    <row r="41" spans="2:12" ht="24" customHeight="1" x14ac:dyDescent="0.3">
      <c r="B41" s="15" t="s">
        <v>80</v>
      </c>
      <c r="C41" s="16">
        <v>46163</v>
      </c>
      <c r="D41" s="16">
        <v>46165</v>
      </c>
      <c r="E41" s="17" t="s">
        <v>94</v>
      </c>
      <c r="F41" s="17" t="s">
        <v>95</v>
      </c>
      <c r="G41" s="17" t="s">
        <v>108</v>
      </c>
      <c r="H41" s="17" t="s">
        <v>104</v>
      </c>
      <c r="I41" s="18">
        <v>8</v>
      </c>
      <c r="J41" s="19">
        <v>5.5</v>
      </c>
      <c r="K41" s="19">
        <v>14</v>
      </c>
      <c r="L41" s="17" t="s">
        <v>98</v>
      </c>
    </row>
    <row r="42" spans="2:12" ht="24" customHeight="1" x14ac:dyDescent="0.3">
      <c r="B42" s="15" t="s">
        <v>81</v>
      </c>
      <c r="C42" s="16">
        <v>46164</v>
      </c>
      <c r="D42" s="16">
        <v>46167</v>
      </c>
      <c r="E42" s="17" t="s">
        <v>94</v>
      </c>
      <c r="F42" s="17" t="s">
        <v>95</v>
      </c>
      <c r="G42" s="17" t="s">
        <v>106</v>
      </c>
      <c r="H42" s="17" t="s">
        <v>102</v>
      </c>
      <c r="I42" s="18">
        <v>2</v>
      </c>
      <c r="J42" s="19">
        <v>2</v>
      </c>
      <c r="K42" s="19">
        <v>5</v>
      </c>
      <c r="L42" s="17" t="s">
        <v>98</v>
      </c>
    </row>
    <row r="43" spans="2:12" ht="24" customHeight="1" x14ac:dyDescent="0.3">
      <c r="B43" s="15" t="s">
        <v>82</v>
      </c>
      <c r="C43" s="16">
        <v>46164</v>
      </c>
      <c r="D43" s="16">
        <v>46165</v>
      </c>
      <c r="E43" s="17" t="s">
        <v>99</v>
      </c>
      <c r="F43" s="17" t="s">
        <v>100</v>
      </c>
      <c r="G43" s="17" t="s">
        <v>101</v>
      </c>
      <c r="H43" s="17" t="s">
        <v>102</v>
      </c>
      <c r="I43" s="18">
        <v>3</v>
      </c>
      <c r="J43" s="19">
        <v>1.2</v>
      </c>
      <c r="K43" s="19">
        <v>3.5</v>
      </c>
      <c r="L43" s="17" t="s">
        <v>98</v>
      </c>
    </row>
    <row r="44" spans="2:12" ht="24" customHeight="1" x14ac:dyDescent="0.3">
      <c r="B44" s="15" t="s">
        <v>83</v>
      </c>
      <c r="C44" s="16">
        <v>46165</v>
      </c>
      <c r="D44" s="16">
        <v>46166</v>
      </c>
      <c r="E44" s="17" t="s">
        <v>94</v>
      </c>
      <c r="F44" s="17" t="s">
        <v>95</v>
      </c>
      <c r="G44" s="17" t="s">
        <v>103</v>
      </c>
      <c r="H44" s="17" t="s">
        <v>104</v>
      </c>
      <c r="I44" s="18">
        <v>6</v>
      </c>
      <c r="J44" s="19">
        <v>5</v>
      </c>
      <c r="K44" s="19">
        <v>12</v>
      </c>
      <c r="L44" s="17" t="s">
        <v>98</v>
      </c>
    </row>
    <row r="45" spans="2:12" ht="24" customHeight="1" x14ac:dyDescent="0.3">
      <c r="B45" s="15" t="s">
        <v>84</v>
      </c>
      <c r="C45" s="16">
        <v>46165</v>
      </c>
      <c r="D45" s="16">
        <v>46166</v>
      </c>
      <c r="E45" s="17" t="s">
        <v>99</v>
      </c>
      <c r="F45" s="17" t="s">
        <v>100</v>
      </c>
      <c r="G45" s="17" t="s">
        <v>101</v>
      </c>
      <c r="H45" s="17" t="s">
        <v>102</v>
      </c>
      <c r="I45" s="18">
        <v>3</v>
      </c>
      <c r="J45" s="19">
        <v>1.2</v>
      </c>
      <c r="K45" s="19">
        <v>3.5</v>
      </c>
      <c r="L45" s="17" t="s">
        <v>98</v>
      </c>
    </row>
    <row r="46" spans="2:12" ht="24" customHeight="1" x14ac:dyDescent="0.3">
      <c r="B46" s="15" t="s">
        <v>86</v>
      </c>
      <c r="C46" s="16">
        <v>46166</v>
      </c>
      <c r="D46" s="16">
        <v>46170</v>
      </c>
      <c r="E46" s="17" t="s">
        <v>94</v>
      </c>
      <c r="F46" s="17" t="s">
        <v>95</v>
      </c>
      <c r="G46" s="17" t="s">
        <v>108</v>
      </c>
      <c r="H46" s="17" t="s">
        <v>104</v>
      </c>
      <c r="I46" s="18">
        <v>4</v>
      </c>
      <c r="J46" s="19">
        <v>5.5</v>
      </c>
      <c r="K46" s="19">
        <v>14</v>
      </c>
      <c r="L46" s="17" t="s">
        <v>98</v>
      </c>
    </row>
    <row r="47" spans="2:12" ht="24" customHeight="1" x14ac:dyDescent="0.3">
      <c r="B47" s="15" t="s">
        <v>87</v>
      </c>
      <c r="C47" s="16">
        <v>46166</v>
      </c>
      <c r="D47" s="16">
        <v>46166</v>
      </c>
      <c r="E47" s="17" t="s">
        <v>99</v>
      </c>
      <c r="F47" s="17" t="s">
        <v>100</v>
      </c>
      <c r="G47" s="17" t="s">
        <v>110</v>
      </c>
      <c r="H47" s="17" t="s">
        <v>102</v>
      </c>
      <c r="I47" s="18">
        <v>3</v>
      </c>
      <c r="J47" s="19">
        <v>1.8</v>
      </c>
      <c r="K47" s="19">
        <v>4.2</v>
      </c>
      <c r="L47" s="17" t="s">
        <v>98</v>
      </c>
    </row>
    <row r="48" spans="2:12" ht="24" customHeight="1" x14ac:dyDescent="0.3">
      <c r="B48" s="15" t="s">
        <v>88</v>
      </c>
      <c r="C48" s="16">
        <v>46167</v>
      </c>
      <c r="D48" s="16">
        <v>46172</v>
      </c>
      <c r="E48" s="17" t="s">
        <v>94</v>
      </c>
      <c r="F48" s="17" t="s">
        <v>95</v>
      </c>
      <c r="G48" s="17" t="s">
        <v>110</v>
      </c>
      <c r="H48" s="17" t="s">
        <v>102</v>
      </c>
      <c r="I48" s="18">
        <v>11</v>
      </c>
      <c r="J48" s="19">
        <v>1.8</v>
      </c>
      <c r="K48" s="19">
        <v>4.2</v>
      </c>
      <c r="L48" s="17" t="s">
        <v>98</v>
      </c>
    </row>
    <row r="49" spans="2:12" ht="24" customHeight="1" x14ac:dyDescent="0.3">
      <c r="B49" s="15" t="s">
        <v>89</v>
      </c>
      <c r="C49" s="16">
        <v>46168</v>
      </c>
      <c r="D49" s="16">
        <v>46173</v>
      </c>
      <c r="E49" s="17" t="s">
        <v>99</v>
      </c>
      <c r="F49" s="17" t="s">
        <v>100</v>
      </c>
      <c r="G49" s="17" t="s">
        <v>108</v>
      </c>
      <c r="H49" s="17" t="s">
        <v>104</v>
      </c>
      <c r="I49" s="18">
        <v>11</v>
      </c>
      <c r="J49" s="19">
        <v>5.5</v>
      </c>
      <c r="K49" s="19">
        <v>14</v>
      </c>
      <c r="L49" s="17" t="s">
        <v>98</v>
      </c>
    </row>
    <row r="50" spans="2:12" ht="24" customHeight="1" x14ac:dyDescent="0.3">
      <c r="B50" s="15" t="s">
        <v>90</v>
      </c>
      <c r="C50" s="16">
        <v>46168</v>
      </c>
      <c r="D50" s="16">
        <v>46172</v>
      </c>
      <c r="E50" s="17" t="s">
        <v>94</v>
      </c>
      <c r="F50" s="17" t="s">
        <v>95</v>
      </c>
      <c r="G50" s="17" t="s">
        <v>108</v>
      </c>
      <c r="H50" s="17" t="s">
        <v>104</v>
      </c>
      <c r="I50" s="18">
        <v>12</v>
      </c>
      <c r="J50" s="19">
        <v>5.5</v>
      </c>
      <c r="K50" s="19">
        <v>14</v>
      </c>
      <c r="L50" s="17" t="s">
        <v>98</v>
      </c>
    </row>
    <row r="51" spans="2:12" ht="24" customHeight="1" x14ac:dyDescent="0.3">
      <c r="B51" s="15" t="s">
        <v>91</v>
      </c>
      <c r="C51" s="16">
        <v>46169</v>
      </c>
      <c r="D51" s="16">
        <v>46173</v>
      </c>
      <c r="E51" s="17" t="s">
        <v>94</v>
      </c>
      <c r="F51" s="17" t="s">
        <v>95</v>
      </c>
      <c r="G51" s="17" t="s">
        <v>103</v>
      </c>
      <c r="H51" s="17" t="s">
        <v>104</v>
      </c>
      <c r="I51" s="18">
        <v>15</v>
      </c>
      <c r="J51" s="19">
        <v>5</v>
      </c>
      <c r="K51" s="19">
        <v>12</v>
      </c>
      <c r="L51" s="17" t="s">
        <v>98</v>
      </c>
    </row>
    <row r="52" spans="2:12" ht="24" customHeight="1" x14ac:dyDescent="0.3">
      <c r="B52" s="15" t="s">
        <v>92</v>
      </c>
      <c r="C52" s="16">
        <v>46169</v>
      </c>
      <c r="D52" s="16"/>
      <c r="E52" s="17" t="s">
        <v>94</v>
      </c>
      <c r="F52" s="17" t="s">
        <v>95</v>
      </c>
      <c r="G52" s="17" t="s">
        <v>96</v>
      </c>
      <c r="H52" s="17" t="s">
        <v>97</v>
      </c>
      <c r="I52" s="18">
        <v>11</v>
      </c>
      <c r="J52" s="19">
        <v>3.5</v>
      </c>
      <c r="K52" s="19">
        <v>7</v>
      </c>
      <c r="L52" s="17" t="s">
        <v>105</v>
      </c>
    </row>
    <row r="53" spans="2:12" ht="24" customHeight="1" x14ac:dyDescent="0.3">
      <c r="B53" s="15" t="s">
        <v>93</v>
      </c>
      <c r="C53" s="16">
        <v>46170</v>
      </c>
      <c r="D53" s="16">
        <v>46174</v>
      </c>
      <c r="E53" s="17" t="s">
        <v>99</v>
      </c>
      <c r="F53" s="17" t="s">
        <v>100</v>
      </c>
      <c r="G53" s="17" t="s">
        <v>109</v>
      </c>
      <c r="H53" s="17" t="s">
        <v>97</v>
      </c>
      <c r="I53" s="18">
        <v>13</v>
      </c>
      <c r="J53" s="19">
        <v>4</v>
      </c>
      <c r="K53" s="19">
        <v>9.5</v>
      </c>
      <c r="L53" s="17" t="s">
        <v>98</v>
      </c>
    </row>
  </sheetData>
  <mergeCells count="2">
    <mergeCell ref="A2:XFD2"/>
    <mergeCell ref="B1:L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3880-05CE-4470-9581-3013A1A1962D}">
  <dimension ref="A1:E18"/>
  <sheetViews>
    <sheetView showGridLines="0" zoomScaleNormal="100" workbookViewId="0">
      <selection activeCell="J18" sqref="J18"/>
    </sheetView>
  </sheetViews>
  <sheetFormatPr defaultRowHeight="14.4" x14ac:dyDescent="0.3"/>
  <cols>
    <col min="1" max="1" width="22.44140625" customWidth="1"/>
    <col min="2" max="2" width="16.44140625" customWidth="1"/>
    <col min="3" max="3" width="3.21875" customWidth="1"/>
    <col min="4" max="4" width="27.88671875" customWidth="1"/>
    <col min="5" max="5" width="23.5546875" customWidth="1"/>
    <col min="9" max="9" width="18.21875" customWidth="1"/>
  </cols>
  <sheetData>
    <row r="1" spans="1:5" ht="27" customHeight="1" x14ac:dyDescent="0.3">
      <c r="A1" s="50" t="s">
        <v>159</v>
      </c>
      <c r="B1" s="50"/>
      <c r="C1" s="50"/>
      <c r="D1" s="50"/>
      <c r="E1" s="50"/>
    </row>
    <row r="2" spans="1:5" ht="9.6" customHeight="1" x14ac:dyDescent="0.3"/>
    <row r="3" spans="1:5" x14ac:dyDescent="0.3">
      <c r="A3" s="31" t="s">
        <v>125</v>
      </c>
      <c r="B3" s="31" t="s">
        <v>123</v>
      </c>
      <c r="D3" s="31" t="s">
        <v>116</v>
      </c>
      <c r="E3" s="31" t="s">
        <v>124</v>
      </c>
    </row>
    <row r="4" spans="1:5" x14ac:dyDescent="0.3">
      <c r="A4" s="32" t="s">
        <v>94</v>
      </c>
      <c r="B4" s="33">
        <v>288.59999999999997</v>
      </c>
      <c r="D4" s="32" t="s">
        <v>110</v>
      </c>
      <c r="E4" s="34">
        <v>29</v>
      </c>
    </row>
    <row r="5" spans="1:5" x14ac:dyDescent="0.3">
      <c r="A5" s="32" t="s">
        <v>99</v>
      </c>
      <c r="B5" s="33">
        <v>148.19999999999999</v>
      </c>
      <c r="D5" s="32" t="s">
        <v>103</v>
      </c>
      <c r="E5" s="34">
        <v>36</v>
      </c>
    </row>
    <row r="6" spans="1:5" x14ac:dyDescent="0.3">
      <c r="A6" s="32" t="s">
        <v>122</v>
      </c>
      <c r="B6" s="33">
        <v>436.79999999999995</v>
      </c>
      <c r="D6" s="32" t="s">
        <v>108</v>
      </c>
      <c r="E6" s="34">
        <v>74</v>
      </c>
    </row>
    <row r="7" spans="1:5" x14ac:dyDescent="0.3">
      <c r="D7" s="32" t="s">
        <v>109</v>
      </c>
      <c r="E7" s="34">
        <v>58</v>
      </c>
    </row>
    <row r="8" spans="1:5" x14ac:dyDescent="0.3">
      <c r="A8" s="31" t="s">
        <v>126</v>
      </c>
      <c r="B8" s="31" t="s">
        <v>127</v>
      </c>
      <c r="D8" s="32" t="s">
        <v>101</v>
      </c>
      <c r="E8" s="34">
        <v>11</v>
      </c>
    </row>
    <row r="9" spans="1:5" x14ac:dyDescent="0.3">
      <c r="A9" s="32" t="s">
        <v>107</v>
      </c>
      <c r="B9" s="34">
        <v>14</v>
      </c>
      <c r="D9" s="32" t="s">
        <v>96</v>
      </c>
      <c r="E9" s="34">
        <v>67</v>
      </c>
    </row>
    <row r="10" spans="1:5" x14ac:dyDescent="0.3">
      <c r="A10" s="32" t="s">
        <v>98</v>
      </c>
      <c r="B10" s="34">
        <v>268</v>
      </c>
      <c r="D10" s="32" t="s">
        <v>106</v>
      </c>
      <c r="E10" s="34">
        <v>60</v>
      </c>
    </row>
    <row r="11" spans="1:5" x14ac:dyDescent="0.3">
      <c r="A11" s="32" t="s">
        <v>105</v>
      </c>
      <c r="B11" s="34">
        <v>53</v>
      </c>
      <c r="D11" s="32" t="s">
        <v>122</v>
      </c>
      <c r="E11" s="34">
        <v>335</v>
      </c>
    </row>
    <row r="12" spans="1:5" x14ac:dyDescent="0.3">
      <c r="A12" s="32" t="s">
        <v>122</v>
      </c>
      <c r="B12" s="34">
        <v>335</v>
      </c>
    </row>
    <row r="14" spans="1:5" x14ac:dyDescent="0.3">
      <c r="A14" s="31" t="s">
        <v>117</v>
      </c>
      <c r="B14" s="31" t="s">
        <v>123</v>
      </c>
    </row>
    <row r="15" spans="1:5" x14ac:dyDescent="0.3">
      <c r="A15" s="32" t="s">
        <v>97</v>
      </c>
      <c r="B15" s="33">
        <v>125</v>
      </c>
    </row>
    <row r="16" spans="1:5" x14ac:dyDescent="0.3">
      <c r="A16" s="32" t="s">
        <v>104</v>
      </c>
      <c r="B16" s="33">
        <v>236</v>
      </c>
    </row>
    <row r="17" spans="1:2" x14ac:dyDescent="0.3">
      <c r="A17" s="32" t="s">
        <v>102</v>
      </c>
      <c r="B17" s="33">
        <v>75.800000000000011</v>
      </c>
    </row>
    <row r="18" spans="1:2" x14ac:dyDescent="0.3">
      <c r="A18" s="32" t="s">
        <v>122</v>
      </c>
      <c r="B18" s="33">
        <v>436.8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ECFE-CD2B-4EB6-90B3-027891A1605F}">
  <dimension ref="A1:V33"/>
  <sheetViews>
    <sheetView showGridLines="0" zoomScale="90" zoomScaleNormal="90" workbookViewId="0">
      <selection activeCell="X17" sqref="X17"/>
    </sheetView>
  </sheetViews>
  <sheetFormatPr defaultRowHeight="14.4" x14ac:dyDescent="0.3"/>
  <cols>
    <col min="18" max="18" width="3" customWidth="1"/>
  </cols>
  <sheetData>
    <row r="1" spans="1:22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2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22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8"/>
      <c r="U3" s="8"/>
      <c r="V3" s="8"/>
    </row>
    <row r="4" spans="1:22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8"/>
      <c r="U4" s="8"/>
      <c r="V4" s="8"/>
    </row>
    <row r="5" spans="1:22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8"/>
      <c r="U5" s="8"/>
      <c r="V5" s="8"/>
    </row>
    <row r="6" spans="1:22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8"/>
      <c r="U6" s="8"/>
      <c r="V6" s="8"/>
    </row>
    <row r="7" spans="1:22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8"/>
      <c r="U7" s="8"/>
      <c r="V7" s="8"/>
    </row>
    <row r="8" spans="1:22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8"/>
      <c r="U8" s="8"/>
      <c r="V8" s="8"/>
    </row>
    <row r="9" spans="1:22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8"/>
      <c r="U9" s="8"/>
      <c r="V9" s="8"/>
    </row>
    <row r="10" spans="1:22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8"/>
      <c r="U10" s="8"/>
      <c r="V10" s="8"/>
    </row>
    <row r="11" spans="1:22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8"/>
      <c r="U11" s="8"/>
      <c r="V11" s="8"/>
    </row>
    <row r="12" spans="1:22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8"/>
      <c r="U12" s="8"/>
      <c r="V12" s="8"/>
    </row>
    <row r="13" spans="1:22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8"/>
      <c r="U13" s="8"/>
      <c r="V13" s="8"/>
    </row>
    <row r="14" spans="1:22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8"/>
      <c r="U14" s="8"/>
      <c r="V14" s="8"/>
    </row>
    <row r="15" spans="1:22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8"/>
      <c r="U15" s="8"/>
      <c r="V15" s="8"/>
    </row>
    <row r="16" spans="1:22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8"/>
      <c r="U16" s="8"/>
      <c r="V16" s="8"/>
    </row>
    <row r="17" spans="1:22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8"/>
      <c r="U17" s="8"/>
      <c r="V17" s="8"/>
    </row>
    <row r="18" spans="1:22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8"/>
      <c r="U18" s="8"/>
      <c r="V18" s="8"/>
    </row>
    <row r="19" spans="1:22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8"/>
      <c r="U19" s="8"/>
      <c r="V19" s="8"/>
    </row>
    <row r="20" spans="1:22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8"/>
      <c r="U20" s="8"/>
      <c r="V20" s="8"/>
    </row>
    <row r="21" spans="1:22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8"/>
      <c r="U21" s="8"/>
      <c r="V21" s="8"/>
    </row>
    <row r="22" spans="1:22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8"/>
      <c r="U22" s="8"/>
      <c r="V22" s="8"/>
    </row>
    <row r="23" spans="1:22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8"/>
      <c r="U23" s="8"/>
      <c r="V23" s="8"/>
    </row>
    <row r="24" spans="1:22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8"/>
      <c r="U24" s="8"/>
      <c r="V24" s="8"/>
    </row>
    <row r="25" spans="1:22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8"/>
      <c r="U25" s="8"/>
      <c r="V25" s="8"/>
    </row>
    <row r="26" spans="1:22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8"/>
      <c r="U26" s="8"/>
      <c r="V26" s="8"/>
    </row>
    <row r="27" spans="1:22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8"/>
      <c r="U27" s="8"/>
      <c r="V27" s="8"/>
    </row>
    <row r="28" spans="1:22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8"/>
      <c r="U28" s="8"/>
      <c r="V28" s="8"/>
    </row>
    <row r="29" spans="1:22" ht="11.4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8"/>
      <c r="U29" s="8"/>
      <c r="V29" s="8"/>
    </row>
    <row r="30" spans="1:22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AF44-7998-4A8E-BBDA-F30420C1D5AF}">
  <dimension ref="B1:E12"/>
  <sheetViews>
    <sheetView workbookViewId="0">
      <selection activeCell="H13" sqref="H13"/>
    </sheetView>
  </sheetViews>
  <sheetFormatPr defaultRowHeight="14.4" x14ac:dyDescent="0.3"/>
  <cols>
    <col min="1" max="1" width="1.109375" customWidth="1"/>
    <col min="2" max="2" width="39" customWidth="1"/>
    <col min="3" max="3" width="28.5546875" customWidth="1"/>
    <col min="4" max="4" width="24.44140625" customWidth="1"/>
    <col min="5" max="5" width="25" customWidth="1"/>
  </cols>
  <sheetData>
    <row r="1" spans="2:5" ht="25.8" x14ac:dyDescent="0.3">
      <c r="B1" s="46" t="s">
        <v>169</v>
      </c>
      <c r="C1" s="46"/>
      <c r="D1" s="46"/>
      <c r="E1" s="46"/>
    </row>
    <row r="2" spans="2:5" ht="5.4" customHeight="1" x14ac:dyDescent="0.3"/>
    <row r="3" spans="2:5" ht="24.6" customHeight="1" thickBot="1" x14ac:dyDescent="0.35">
      <c r="B3" s="47" t="s">
        <v>160</v>
      </c>
      <c r="C3" s="48" t="s">
        <v>161</v>
      </c>
      <c r="D3" s="48" t="s">
        <v>172</v>
      </c>
      <c r="E3" s="49" t="s">
        <v>162</v>
      </c>
    </row>
    <row r="4" spans="2:5" ht="19.2" customHeight="1" thickBot="1" x14ac:dyDescent="0.35">
      <c r="B4" s="38" t="s">
        <v>163</v>
      </c>
      <c r="C4" s="35">
        <v>335</v>
      </c>
      <c r="D4" s="35">
        <v>335</v>
      </c>
      <c r="E4" s="42" t="s">
        <v>158</v>
      </c>
    </row>
    <row r="5" spans="2:5" ht="19.2" customHeight="1" thickBot="1" x14ac:dyDescent="0.35">
      <c r="B5" s="38" t="s">
        <v>164</v>
      </c>
      <c r="C5" s="36">
        <v>170.8</v>
      </c>
      <c r="D5" s="36">
        <v>170.8</v>
      </c>
      <c r="E5" s="42" t="s">
        <v>158</v>
      </c>
    </row>
    <row r="6" spans="2:5" ht="19.2" customHeight="1" thickBot="1" x14ac:dyDescent="0.35">
      <c r="B6" s="38" t="s">
        <v>165</v>
      </c>
      <c r="C6" s="36">
        <v>436.8</v>
      </c>
      <c r="D6" s="36">
        <v>436.8</v>
      </c>
      <c r="E6" s="42" t="s">
        <v>158</v>
      </c>
    </row>
    <row r="7" spans="2:5" ht="19.2" customHeight="1" thickBot="1" x14ac:dyDescent="0.35">
      <c r="B7" s="38" t="s">
        <v>166</v>
      </c>
      <c r="C7" s="35">
        <v>335</v>
      </c>
      <c r="D7" s="35">
        <v>335</v>
      </c>
      <c r="E7" s="42" t="s">
        <v>158</v>
      </c>
    </row>
    <row r="8" spans="2:5" ht="19.2" customHeight="1" thickBot="1" x14ac:dyDescent="0.35">
      <c r="B8" s="38" t="s">
        <v>167</v>
      </c>
      <c r="C8" s="35">
        <v>50</v>
      </c>
      <c r="D8" s="35">
        <v>50</v>
      </c>
      <c r="E8" s="42" t="s">
        <v>158</v>
      </c>
    </row>
    <row r="9" spans="2:5" ht="19.2" customHeight="1" thickBot="1" x14ac:dyDescent="0.35">
      <c r="B9" s="39" t="s">
        <v>168</v>
      </c>
      <c r="C9" s="37">
        <v>11</v>
      </c>
      <c r="D9" s="37">
        <v>11</v>
      </c>
      <c r="E9" s="43" t="s">
        <v>158</v>
      </c>
    </row>
    <row r="10" spans="2:5" ht="19.2" customHeight="1" thickBot="1" x14ac:dyDescent="0.35">
      <c r="B10" s="38" t="s">
        <v>170</v>
      </c>
      <c r="C10" s="44">
        <v>28</v>
      </c>
      <c r="D10" s="40">
        <v>28</v>
      </c>
      <c r="E10" s="42" t="s">
        <v>158</v>
      </c>
    </row>
    <row r="11" spans="2:5" ht="19.2" customHeight="1" thickBot="1" x14ac:dyDescent="0.35">
      <c r="B11" s="39" t="s">
        <v>171</v>
      </c>
      <c r="C11" s="45">
        <v>22</v>
      </c>
      <c r="D11" s="41">
        <v>22</v>
      </c>
      <c r="E11" s="43" t="s">
        <v>158</v>
      </c>
    </row>
    <row r="12" spans="2:5" ht="19.2" customHeight="1" x14ac:dyDescent="0.3">
      <c r="B12" s="39" t="s">
        <v>174</v>
      </c>
      <c r="C12" s="54" t="s">
        <v>177</v>
      </c>
      <c r="D12" s="43" t="s">
        <v>175</v>
      </c>
      <c r="E12" s="43" t="s">
        <v>176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889B9-E5B2-4738-8CD6-C0E48D63F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Dados_Brutos</vt:lpstr>
      <vt:lpstr>Dicionário</vt:lpstr>
      <vt:lpstr>PQ_Tratado</vt:lpstr>
      <vt:lpstr>Análises</vt:lpstr>
      <vt:lpstr>Dashboard</vt:lpstr>
      <vt:lpstr>QA (Quality Assurance)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2026-05-27T18:56:06Z</dcterms:created>
  <dcterms:modified xsi:type="dcterms:W3CDTF">2026-05-29T19:24:56Z</dcterms:modified>
</cp:coreProperties>
</file>